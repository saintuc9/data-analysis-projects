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5"/>
  </bookViews>
  <sheets>
    <sheet name="Sheet1" sheetId="2" r:id="rId1"/>
    <sheet name="Sheet2" sheetId="3" r:id="rId2"/>
    <sheet name="Sheet3" sheetId="4" r:id="rId3"/>
    <sheet name="Sheet4" sheetId="5" r:id="rId4"/>
    <sheet name="Sheet5" sheetId="1" r:id="rId5"/>
    <sheet name="Dashboard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<sst xmlns="http://schemas.openxmlformats.org/spreadsheetml/2006/main" count="669" uniqueCount="30">
  <si>
    <t>Product</t>
  </si>
  <si>
    <t>Sum of Revenue</t>
  </si>
  <si>
    <t>Product A</t>
  </si>
  <si>
    <t>Product B</t>
  </si>
  <si>
    <t>Product C</t>
  </si>
  <si>
    <t>Product D</t>
  </si>
  <si>
    <t>Grand Total</t>
  </si>
  <si>
    <t>Region</t>
  </si>
  <si>
    <t>East</t>
  </si>
  <si>
    <t>North</t>
  </si>
  <si>
    <t>South</t>
  </si>
  <si>
    <t>West</t>
  </si>
  <si>
    <t>Date</t>
  </si>
  <si>
    <t>Jan</t>
  </si>
  <si>
    <t>Feb</t>
  </si>
  <si>
    <t>Mar</t>
  </si>
  <si>
    <t>Apr</t>
  </si>
  <si>
    <t>Salesperson</t>
  </si>
  <si>
    <t>Sum of Units Sold</t>
  </si>
  <si>
    <t>Alice</t>
  </si>
  <si>
    <t>Bob</t>
  </si>
  <si>
    <t>Charlie</t>
  </si>
  <si>
    <t>Diana</t>
  </si>
  <si>
    <t>Units Sold</t>
  </si>
  <si>
    <t>Unit Price</t>
  </si>
  <si>
    <t>Revenue</t>
  </si>
  <si>
    <t>Total Revenue</t>
  </si>
  <si>
    <t>Top Product</t>
  </si>
  <si>
    <t>Top Region</t>
  </si>
  <si>
    <t>Top Salesperson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</si>
</sst>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Alignment="1">
      <alignment vertical="center" wrapText="1"/>
    </xf>
    <xf numFmtId="0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[sales_data_analysis_project.csv]Sheet1!PivotTable1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23750</c:v>
                </c:pt>
                <c:pt idx="1">
                  <c:v>21059</c:v>
                </c:pt>
                <c:pt idx="2">
                  <c:v>28322</c:v>
                </c:pt>
                <c:pt idx="3">
                  <c:v>30715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67403080"/>
        <c:axId val="348403154"/>
      </c:barChart>
      <c:catAx>
        <c:axId val="367403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8403154"/>
        <c:crosses val="autoZero"/>
        <c:auto val="1"/>
        <c:lblAlgn val="ctr"/>
        <c:lblOffset val="100"/>
        <c:noMultiLvlLbl val="0"/>
      </c:catAx>
      <c:valAx>
        <c:axId val="3484031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403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[sales_data_analysis_project.csv]Sheet2!PivotTable2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25034</c:v>
                </c:pt>
                <c:pt idx="1">
                  <c:v>24532</c:v>
                </c:pt>
                <c:pt idx="2">
                  <c:v>25733</c:v>
                </c:pt>
                <c:pt idx="3">
                  <c:v>28547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[sales_data_analysis_project.csv]Sheet3!PivotTable3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28980</c:v>
                </c:pt>
                <c:pt idx="1">
                  <c:v>22498</c:v>
                </c:pt>
                <c:pt idx="2">
                  <c:v>42050</c:v>
                </c:pt>
                <c:pt idx="3">
                  <c:v>10318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38701511"/>
        <c:axId val="167262602"/>
      </c:barChart>
      <c:catAx>
        <c:axId val="338701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7262602"/>
        <c:crosses val="autoZero"/>
        <c:auto val="1"/>
        <c:lblAlgn val="ctr"/>
        <c:lblOffset val="100"/>
        <c:noMultiLvlLbl val="0"/>
      </c:catAx>
      <c:valAx>
        <c:axId val="1672626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7015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[sales_data_analysis_project.csv]Sheet4!PivotTable4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Sheet4!$A$4:$A$8</c:f>
              <c:strCache>
                <c:ptCount val="4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Diana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28753</c:v>
                </c:pt>
                <c:pt idx="1">
                  <c:v>25339</c:v>
                </c:pt>
                <c:pt idx="2">
                  <c:v>22797</c:v>
                </c:pt>
                <c:pt idx="3">
                  <c:v>26957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Sheet4!$A$4:$A$8</c:f>
              <c:strCache>
                <c:ptCount val="4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Diana</c:v>
                </c:pt>
              </c:strCache>
            </c:strRef>
          </c:cat>
          <c:val>
            <c:numRef>
              <c:f>Sheet4!$C$4:$C$8</c:f>
              <c:numCache>
                <c:formatCode>General</c:formatCode>
                <c:ptCount val="4"/>
                <c:pt idx="0">
                  <c:v>535</c:v>
                </c:pt>
                <c:pt idx="1">
                  <c:v>504</c:v>
                </c:pt>
                <c:pt idx="2">
                  <c:v>462</c:v>
                </c:pt>
                <c:pt idx="3">
                  <c:v>505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73603847"/>
        <c:axId val="198276524"/>
      </c:barChart>
      <c:catAx>
        <c:axId val="47360384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8276524"/>
        <c:crosses val="autoZero"/>
        <c:auto val="1"/>
        <c:lblAlgn val="ctr"/>
        <c:lblOffset val="100"/>
        <c:noMultiLvlLbl val="0"/>
      </c:catAx>
      <c:valAx>
        <c:axId val="1982765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73603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12700" cap="flat" cmpd="sng" algn="ctr">
      <a:solidFill>
        <a:schemeClr val="accent1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[sales_data_analysis_project.csv]Sheet1!PivotTable1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Column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Chart</a:t>
            </a:r>
          </a:p>
        </c:rich>
      </c:tx>
      <c:layout/>
      <c:overlay val="0"/>
      <c:spPr>
        <a:solidFill>
          <a:schemeClr val="accent4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23750</c:v>
                </c:pt>
                <c:pt idx="1">
                  <c:v>21059</c:v>
                </c:pt>
                <c:pt idx="2">
                  <c:v>28322</c:v>
                </c:pt>
                <c:pt idx="3">
                  <c:v>30715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67403080"/>
        <c:axId val="348403154"/>
      </c:barChart>
      <c:catAx>
        <c:axId val="367403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8403154"/>
        <c:crosses val="autoZero"/>
        <c:auto val="1"/>
        <c:lblAlgn val="ctr"/>
        <c:lblOffset val="100"/>
        <c:noMultiLvlLbl val="0"/>
      </c:catAx>
      <c:valAx>
        <c:axId val="3484031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403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c6d7f2-36b0-4bca-ad5d-66dfd8537bdf}"/>
      </c:ext>
    </c:extLst>
  </c:chart>
  <c:spPr>
    <a:solidFill>
      <a:schemeClr val="bg1"/>
    </a:solidFill>
    <a:ln w="28575" cap="flat" cmpd="thickThin" algn="ctr">
      <a:solidFill>
        <a:schemeClr val="accent1"/>
      </a:solidFill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[sales_data_analysis_project.csv]Sheet2!PivotTable2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Pie Chart</a:t>
            </a:r>
          </a:p>
        </c:rich>
      </c:tx>
      <c:layout/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25034</c:v>
                </c:pt>
                <c:pt idx="1">
                  <c:v>24532</c:v>
                </c:pt>
                <c:pt idx="2">
                  <c:v>25733</c:v>
                </c:pt>
                <c:pt idx="3">
                  <c:v>28547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39c7d5-2064-4380-a3a4-01bfc7f1c3d7}"/>
      </c:ext>
    </c:extLst>
  </c:chart>
  <c:spPr>
    <a:solidFill>
      <a:schemeClr val="bg1"/>
    </a:solidFill>
    <a:ln w="28575" cap="flat" cmpd="dbl" algn="ctr">
      <a:solidFill>
        <a:schemeClr val="accent1"/>
      </a:solidFill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[sales_data_analysis_project.csv]Sheet3!PivotTable3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Line Chart</a:t>
            </a:r>
          </a:p>
        </c:rich>
      </c:tx>
      <c:layout>
        <c:manualLayout>
          <c:xMode val="edge"/>
          <c:yMode val="edge"/>
          <c:x val="0.430412371134021"/>
          <c:y val="0.122023808459441"/>
        </c:manualLayout>
      </c:layout>
      <c:overlay val="0"/>
      <c:spPr>
        <a:solidFill>
          <a:schemeClr val="accent5">
            <a:lumMod val="40000"/>
            <a:lumOff val="60000"/>
          </a:schemeClr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28980</c:v>
                </c:pt>
                <c:pt idx="1">
                  <c:v>22498</c:v>
                </c:pt>
                <c:pt idx="2">
                  <c:v>42050</c:v>
                </c:pt>
                <c:pt idx="3">
                  <c:v>10318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38701511"/>
        <c:axId val="167262602"/>
      </c:lineChart>
      <c:catAx>
        <c:axId val="338701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7262602"/>
        <c:crosses val="autoZero"/>
        <c:auto val="1"/>
        <c:lblAlgn val="ctr"/>
        <c:lblOffset val="100"/>
        <c:noMultiLvlLbl val="0"/>
      </c:catAx>
      <c:valAx>
        <c:axId val="1672626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7015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2d6ffb-52e8-42c2-bec6-0641d2514750}"/>
      </c:ext>
    </c:extLst>
  </c:chart>
  <c:spPr>
    <a:solidFill>
      <a:schemeClr val="bg1"/>
    </a:solidFill>
    <a:ln w="28575" cap="flat" cmpd="thickThin" algn="ctr">
      <a:solidFill>
        <a:schemeClr val="accent1"/>
      </a:solidFill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[sales_data_analysis_project.csv]Sheet4!PivotTable4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Sheet4!$A$4:$A$8</c:f>
              <c:strCache>
                <c:ptCount val="4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Diana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28753</c:v>
                </c:pt>
                <c:pt idx="1">
                  <c:v>25339</c:v>
                </c:pt>
                <c:pt idx="2">
                  <c:v>22797</c:v>
                </c:pt>
                <c:pt idx="3">
                  <c:v>26957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Sheet4!$A$4:$A$8</c:f>
              <c:strCache>
                <c:ptCount val="4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Diana</c:v>
                </c:pt>
              </c:strCache>
            </c:strRef>
          </c:cat>
          <c:val>
            <c:numRef>
              <c:f>Sheet4!$C$4:$C$8</c:f>
              <c:numCache>
                <c:formatCode>General</c:formatCode>
                <c:ptCount val="4"/>
                <c:pt idx="0">
                  <c:v>535</c:v>
                </c:pt>
                <c:pt idx="1">
                  <c:v>504</c:v>
                </c:pt>
                <c:pt idx="2">
                  <c:v>462</c:v>
                </c:pt>
                <c:pt idx="3">
                  <c:v>505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73603847"/>
        <c:axId val="198276524"/>
      </c:barChart>
      <c:catAx>
        <c:axId val="47360384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8276524"/>
        <c:crosses val="autoZero"/>
        <c:auto val="1"/>
        <c:lblAlgn val="ctr"/>
        <c:lblOffset val="100"/>
        <c:noMultiLvlLbl val="0"/>
      </c:catAx>
      <c:valAx>
        <c:axId val="1982765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73603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c897ed-7d97-4bdd-881f-35c694ae62b9}"/>
      </c:ext>
    </c:extLst>
  </c:chart>
  <c:spPr>
    <a:noFill/>
    <a:ln w="28575" cap="flat" cmpd="thickThin" algn="ctr">
      <a:solidFill>
        <a:schemeClr val="accent1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63500</xdr:colOff>
      <xdr:row>11</xdr:row>
      <xdr:rowOff>99060</xdr:rowOff>
    </xdr:from>
    <xdr:to>
      <xdr:col>8</xdr:col>
      <xdr:colOff>127000</xdr:colOff>
      <xdr:row>26</xdr:row>
      <xdr:rowOff>99060</xdr:rowOff>
    </xdr:to>
    <xdr:graphicFrame>
      <xdr:nvGraphicFramePr>
        <xdr:cNvPr id="2" name="Chart 1"/>
        <xdr:cNvGraphicFramePr/>
      </xdr:nvGraphicFramePr>
      <xdr:xfrm>
        <a:off x="863600" y="21107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848360</xdr:colOff>
      <xdr:row>8</xdr:row>
      <xdr:rowOff>76200</xdr:rowOff>
    </xdr:from>
    <xdr:to>
      <xdr:col>7</xdr:col>
      <xdr:colOff>36195</xdr:colOff>
      <xdr:row>23</xdr:row>
      <xdr:rowOff>53340</xdr:rowOff>
    </xdr:to>
    <xdr:graphicFrame>
      <xdr:nvGraphicFramePr>
        <xdr:cNvPr id="2" name="Chart 1"/>
        <xdr:cNvGraphicFramePr/>
      </xdr:nvGraphicFramePr>
      <xdr:xfrm>
        <a:off x="1648460" y="1539240"/>
        <a:ext cx="3340735" cy="2720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596900</xdr:colOff>
      <xdr:row>7</xdr:row>
      <xdr:rowOff>15240</xdr:rowOff>
    </xdr:from>
    <xdr:to>
      <xdr:col>9</xdr:col>
      <xdr:colOff>492760</xdr:colOff>
      <xdr:row>21</xdr:row>
      <xdr:rowOff>129540</xdr:rowOff>
    </xdr:to>
    <xdr:graphicFrame>
      <xdr:nvGraphicFramePr>
        <xdr:cNvPr id="2" name="Chart 1"/>
        <xdr:cNvGraphicFramePr/>
      </xdr:nvGraphicFramePr>
      <xdr:xfrm>
        <a:off x="3111500" y="1295400"/>
        <a:ext cx="3553460" cy="2674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1023620</xdr:colOff>
      <xdr:row>9</xdr:row>
      <xdr:rowOff>15240</xdr:rowOff>
    </xdr:from>
    <xdr:to>
      <xdr:col>10</xdr:col>
      <xdr:colOff>270510</xdr:colOff>
      <xdr:row>23</xdr:row>
      <xdr:rowOff>60325</xdr:rowOff>
    </xdr:to>
    <xdr:graphicFrame>
      <xdr:nvGraphicFramePr>
        <xdr:cNvPr id="2" name="Chart 1"/>
        <xdr:cNvGraphicFramePr/>
      </xdr:nvGraphicFramePr>
      <xdr:xfrm>
        <a:off x="3119120" y="1661160"/>
        <a:ext cx="4657090" cy="2605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259080</xdr:colOff>
      <xdr:row>7</xdr:row>
      <xdr:rowOff>106680</xdr:rowOff>
    </xdr:from>
    <xdr:to>
      <xdr:col>4</xdr:col>
      <xdr:colOff>467360</xdr:colOff>
      <xdr:row>21</xdr:row>
      <xdr:rowOff>15875</xdr:rowOff>
    </xdr:to>
    <xdr:graphicFrame>
      <xdr:nvGraphicFramePr>
        <xdr:cNvPr id="2" name="Chart 1"/>
        <xdr:cNvGraphicFramePr/>
      </xdr:nvGraphicFramePr>
      <xdr:xfrm>
        <a:off x="259080" y="1386840"/>
        <a:ext cx="3332480" cy="2469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373380</xdr:colOff>
      <xdr:row>7</xdr:row>
      <xdr:rowOff>99060</xdr:rowOff>
    </xdr:from>
    <xdr:to>
      <xdr:col>10</xdr:col>
      <xdr:colOff>247015</xdr:colOff>
      <xdr:row>21</xdr:row>
      <xdr:rowOff>7620</xdr:rowOff>
    </xdr:to>
    <xdr:graphicFrame>
      <xdr:nvGraphicFramePr>
        <xdr:cNvPr id="3" name="Chart 2"/>
        <xdr:cNvGraphicFramePr/>
      </xdr:nvGraphicFramePr>
      <xdr:xfrm>
        <a:off x="5120640" y="1379220"/>
        <a:ext cx="3576955" cy="2468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130175</xdr:colOff>
      <xdr:row>29</xdr:row>
      <xdr:rowOff>175260</xdr:rowOff>
    </xdr:from>
    <xdr:to>
      <xdr:col>4</xdr:col>
      <xdr:colOff>483235</xdr:colOff>
      <xdr:row>43</xdr:row>
      <xdr:rowOff>175260</xdr:rowOff>
    </xdr:to>
    <xdr:graphicFrame>
      <xdr:nvGraphicFramePr>
        <xdr:cNvPr id="4" name="Chart 3"/>
        <xdr:cNvGraphicFramePr/>
      </xdr:nvGraphicFramePr>
      <xdr:xfrm>
        <a:off x="130175" y="5478780"/>
        <a:ext cx="3477260" cy="256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175260</xdr:colOff>
      <xdr:row>29</xdr:row>
      <xdr:rowOff>175260</xdr:rowOff>
    </xdr:from>
    <xdr:to>
      <xdr:col>11</xdr:col>
      <xdr:colOff>70485</xdr:colOff>
      <xdr:row>44</xdr:row>
      <xdr:rowOff>37465</xdr:rowOff>
    </xdr:to>
    <xdr:graphicFrame>
      <xdr:nvGraphicFramePr>
        <xdr:cNvPr id="5" name="Chart 4"/>
        <xdr:cNvGraphicFramePr/>
      </xdr:nvGraphicFramePr>
      <xdr:xfrm>
        <a:off x="4312920" y="5478780"/>
        <a:ext cx="4817745" cy="2605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3</xdr:col>
      <xdr:colOff>487680</xdr:colOff>
      <xdr:row>0</xdr:row>
      <xdr:rowOff>7620</xdr:rowOff>
    </xdr:from>
    <xdr:ext cx="2308225" cy="236220"/>
    <xdr:sp>
      <xdr:nvSpPr>
        <xdr:cNvPr id="13" name="Text Box 12"/>
        <xdr:cNvSpPr txBox="1"/>
      </xdr:nvSpPr>
      <xdr:spPr>
        <a:xfrm>
          <a:off x="3002280" y="7620"/>
          <a:ext cx="2308225" cy="2362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sz="1100" b="1"/>
            <a:t>SALES PERFORMANCE DASHBOARD</a:t>
          </a:r>
          <a:endParaRPr lang="en-US" sz="1100"/>
        </a:p>
        <a:p>
          <a:pPr algn="l"/>
          <a:endParaRPr lang="en-US" sz="1100"/>
        </a:p>
      </xdr:txBody>
    </xdr:sp>
    <xdr:clientData/>
  </xdr:oneCellAnchor>
  <xdr:oneCellAnchor>
    <xdr:from>
      <xdr:col>11</xdr:col>
      <xdr:colOff>449580</xdr:colOff>
      <xdr:row>5</xdr:row>
      <xdr:rowOff>8890</xdr:rowOff>
    </xdr:from>
    <xdr:ext cx="4804410" cy="5750560"/>
    <xdr:sp>
      <xdr:nvSpPr>
        <xdr:cNvPr id="14" name="Text Box 13"/>
        <xdr:cNvSpPr txBox="1"/>
      </xdr:nvSpPr>
      <xdr:spPr>
        <a:xfrm>
          <a:off x="9509760" y="923290"/>
          <a:ext cx="4804410" cy="57505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sz="1100" b="1"/>
            <a:t>                              SALES PERFORMANCE INSIGHTS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100" b="1"/>
            <a:t>Product Performance</a:t>
          </a:r>
          <a:endParaRPr lang="en-US" sz="1100" b="1"/>
        </a:p>
        <a:p>
          <a:pPr algn="l"/>
          <a:r>
            <a:rPr lang="en-US" sz="1100"/>
            <a:t>Product D generated the highest revenue</a:t>
          </a:r>
          <a:endParaRPr lang="en-US" sz="1100"/>
        </a:p>
        <a:p>
          <a:pPr algn="l"/>
          <a:r>
            <a:rPr lang="en-US" sz="1100"/>
            <a:t>Product A and C performed moderately.</a:t>
          </a:r>
          <a:endParaRPr lang="en-US" sz="1100"/>
        </a:p>
        <a:p>
          <a:pPr algn="l"/>
          <a:r>
            <a:rPr lang="en-US" sz="1100"/>
            <a:t>Product B is the lowest performer, indicating weak market demand.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Insight: Focus marketing and inventory on Product C.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 b="1"/>
            <a:t>Regional Sales Insights</a:t>
          </a:r>
          <a:endParaRPr lang="en-US" sz="1100" b="1"/>
        </a:p>
        <a:p>
          <a:pPr algn="l"/>
          <a:r>
            <a:rPr lang="en-US" sz="1100"/>
            <a:t>The West region contributed the highest share of total revenue (≈ 27%).</a:t>
          </a:r>
          <a:endParaRPr lang="en-US" sz="1100"/>
        </a:p>
        <a:p>
          <a:pPr algn="l"/>
          <a:r>
            <a:rPr lang="en-US" sz="1100"/>
            <a:t>South also have good performance.</a:t>
          </a:r>
          <a:endParaRPr lang="en-US" sz="1100"/>
        </a:p>
        <a:p>
          <a:pPr algn="l"/>
          <a:r>
            <a:rPr lang="en-US" sz="1100"/>
            <a:t>The </a:t>
          </a:r>
          <a:r>
            <a:rPr lang="en-US">
              <a:sym typeface="+mn-ea"/>
            </a:rPr>
            <a:t>North and East </a:t>
          </a:r>
          <a:r>
            <a:rPr lang="en-US" sz="1100"/>
            <a:t>region shows the lowest revenue.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Insight: </a:t>
          </a:r>
          <a:r>
            <a:rPr lang="en-US">
              <a:sym typeface="+mn-ea"/>
            </a:rPr>
            <a:t>North and East</a:t>
          </a:r>
          <a:r>
            <a:rPr lang="en-US" sz="1100"/>
            <a:t> region may need better distribution or promotions.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 b="1"/>
            <a:t>Salesperson Performance</a:t>
          </a:r>
          <a:endParaRPr lang="en-US" sz="1100" b="1"/>
        </a:p>
        <a:p>
          <a:pPr algn="l"/>
          <a:r>
            <a:rPr lang="en-US" sz="1100"/>
            <a:t>Alice achieved the highest revenue among all salespeople.</a:t>
          </a:r>
          <a:endParaRPr lang="en-US" sz="1100"/>
        </a:p>
        <a:p>
          <a:pPr algn="l"/>
          <a:r>
            <a:rPr lang="en-US" sz="1100"/>
            <a:t>Charlie is the lowest performer.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Insight: Charlie may need sales training or support.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 b="1"/>
            <a:t>Recommendations</a:t>
          </a:r>
          <a:endParaRPr lang="en-US" sz="1100" b="1"/>
        </a:p>
        <a:p>
          <a:pPr algn="l"/>
          <a:r>
            <a:rPr lang="en-US" sz="1100"/>
            <a:t>Increase stock for Product C — highest demand.</a:t>
          </a:r>
          <a:endParaRPr lang="en-US" sz="1100"/>
        </a:p>
        <a:p>
          <a:pPr algn="l"/>
          <a:r>
            <a:rPr lang="en-US" sz="1100"/>
            <a:t>Launch targeted promotions in the North region.</a:t>
          </a:r>
          <a:endParaRPr lang="en-US" sz="1100"/>
        </a:p>
        <a:p>
          <a:pPr algn="l"/>
          <a:r>
            <a:rPr lang="en-US" sz="1100"/>
            <a:t>Provide advanced training to low-performing salespeople.</a:t>
          </a:r>
          <a:endParaRPr lang="en-US" sz="1100"/>
        </a:p>
        <a:p>
          <a:pPr algn="l"/>
          <a:r>
            <a:rPr lang="en-US" sz="1100"/>
            <a:t>Keep monitoring monthly trends for slow or peak seasons.</a:t>
          </a:r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2.6756365741" refreshedBy="saint" recordCount="200">
  <cacheSource type="worksheet">
    <worksheetSource ref="A1:G201" sheet="Sheet5"/>
  </cacheSource>
  <cacheFields count="7">
    <cacheField name="Date" numFmtId="0">
      <sharedItems containsSemiMixedTypes="0" containsString="0" containsNonDate="0" containsDate="1" minDate="2025-01-01T00:00:00" maxDate="2025-04-10T00:00:00" count="87">
        <d v="2025-02-21T00:00:00"/>
        <d v="2025-04-03T00:00:00"/>
        <d v="2025-01-15T00:00:00"/>
        <d v="2025-03-13T00:00:00"/>
        <d v="2025-03-02T00:00:00"/>
        <d v="2025-01-21T00:00:00"/>
        <d v="2025-03-24T00:00:00"/>
        <d v="2025-03-28T00:00:00"/>
        <d v="2025-03-16T00:00:00"/>
        <d v="2025-03-29T00:00:00"/>
        <d v="2025-04-10T00:00:00"/>
        <d v="2025-01-24T00:00:00"/>
        <d v="2025-01-03T00:00:00"/>
        <d v="2025-01-22T00:00:00"/>
        <d v="2025-02-22T00:00:00"/>
        <d v="2025-01-02T00:00:00"/>
        <d v="2025-01-30T00:00:00"/>
        <d v="2025-02-07T00:00:00"/>
        <d v="2025-03-05T00:00:00"/>
        <d v="2025-03-01T00:00:00"/>
        <d v="2025-02-02T00:00:00"/>
        <d v="2025-03-17T00:00:00"/>
        <d v="2025-02-27T00:00:00"/>
        <d v="2025-03-30T00:00:00"/>
        <d v="2025-02-18T00:00:00"/>
        <d v="2025-04-01T00:00:00"/>
        <d v="2025-02-28T00:00:00"/>
        <d v="2025-02-11T00:00:00"/>
        <d v="2025-04-02T00:00:00"/>
        <d v="2025-03-21T00:00:00"/>
        <d v="2025-03-03T00:00:00"/>
        <d v="2025-02-16T00:00:00"/>
        <d v="2025-02-20T00:00:00"/>
        <d v="2025-02-24T00:00:00"/>
        <d v="2025-01-07T00:00:00"/>
        <d v="2025-03-14T00:00:00"/>
        <d v="2025-02-08T00:00:00"/>
        <d v="2025-01-18T00:00:00"/>
        <d v="2025-01-04T00:00:00"/>
        <d v="2025-01-14T00:00:00"/>
        <d v="2025-01-09T00:00:00"/>
        <d v="2025-03-31T00:00:00"/>
        <d v="2025-03-25T00:00:00"/>
        <d v="2025-03-12T00:00:00"/>
        <d v="2025-02-13T00:00:00"/>
        <d v="2025-01-08T00:00:00"/>
        <d v="2025-02-04T00:00:00"/>
        <d v="2025-03-19T00:00:00"/>
        <d v="2025-03-22T00:00:00"/>
        <d v="2025-02-05T00:00:00"/>
        <d v="2025-02-19T00:00:00"/>
        <d v="2025-01-06T00:00:00"/>
        <d v="2025-02-23T00:00:00"/>
        <d v="2025-03-04T00:00:00"/>
        <d v="2025-02-03T00:00:00"/>
        <d v="2025-03-15T00:00:00"/>
        <d v="2025-04-05T00:00:00"/>
        <d v="2025-02-17T00:00:00"/>
        <d v="2025-02-09T00:00:00"/>
        <d v="2025-03-26T00:00:00"/>
        <d v="2025-03-23T00:00:00"/>
        <d v="2025-01-26T00:00:00"/>
        <d v="2025-02-10T00:00:00"/>
        <d v="2025-01-29T00:00:00"/>
        <d v="2025-02-14T00:00:00"/>
        <d v="2025-03-06T00:00:00"/>
        <d v="2025-01-01T00:00:00"/>
        <d v="2025-01-11T00:00:00"/>
        <d v="2025-01-05T00:00:00"/>
        <d v="2025-01-28T00:00:00"/>
        <d v="2025-01-12T00:00:00"/>
        <d v="2025-01-23T00:00:00"/>
        <d v="2025-02-06T00:00:00"/>
        <d v="2025-04-09T00:00:00"/>
        <d v="2025-03-27T00:00:00"/>
        <d v="2025-01-27T00:00:00"/>
        <d v="2025-03-20T00:00:00"/>
        <d v="2025-03-18T00:00:00"/>
        <d v="2025-04-06T00:00:00"/>
        <d v="2025-04-04T00:00:00"/>
        <d v="2025-02-12T00:00:00"/>
        <d v="2025-01-13T00:00:00"/>
        <d v="2025-02-01T00:00:00"/>
        <d v="2025-03-07T00:00:00"/>
        <d v="2025-02-26T00:00:00"/>
        <d v="2025-04-07T00:00:00"/>
        <d v="2025-03-11T00:00:00"/>
      </sharedItems>
      <fieldGroup base="0">
        <rangePr groupBy="months" startDate="2025-01-01T00:00:00" endDate="2025-04-10T00:00:00" groupInterval="1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0/2025"/>
        </groupItems>
      </fieldGroup>
    </cacheField>
    <cacheField name="Product" numFmtId="0">
      <sharedItems count="4">
        <s v="Product A"/>
        <s v="Product B"/>
        <s v="Product C"/>
        <s v="Product D"/>
      </sharedItems>
    </cacheField>
    <cacheField name="Region" numFmtId="0">
      <sharedItems count="4">
        <s v="South"/>
        <s v="North"/>
        <s v="West"/>
        <s v="East"/>
      </sharedItems>
    </cacheField>
    <cacheField name="Salesperson" numFmtId="0">
      <sharedItems count="4">
        <s v="Diana"/>
        <s v="Charlie"/>
        <s v="Alice"/>
        <s v="Bob"/>
      </sharedItems>
    </cacheField>
    <cacheField name="Units Sold" numFmtId="0">
      <sharedItems containsSemiMixedTypes="0" containsString="0" containsNumber="1" containsInteger="1" minValue="1" maxValue="19" count="19">
        <n v="12"/>
        <n v="9"/>
        <n v="10"/>
        <n v="17"/>
        <n v="6"/>
        <n v="7"/>
        <n v="14"/>
        <n v="13"/>
        <n v="8"/>
        <n v="18"/>
        <n v="2"/>
        <n v="5"/>
        <n v="19"/>
        <n v="16"/>
        <n v="1"/>
        <n v="4"/>
        <n v="3"/>
        <n v="15"/>
        <n v="11"/>
      </sharedItems>
    </cacheField>
    <cacheField name="Unit Price" numFmtId="0">
      <sharedItems containsSemiMixedTypes="0" containsString="0" containsNumber="1" containsInteger="1" minValue="10" maxValue="99" count="82">
        <n v="30"/>
        <n v="14"/>
        <n v="91"/>
        <n v="51"/>
        <n v="70"/>
        <n v="31"/>
        <n v="79"/>
        <n v="10"/>
        <n v="21"/>
        <n v="99"/>
        <n v="55"/>
        <n v="43"/>
        <n v="58"/>
        <n v="87"/>
        <n v="54"/>
        <n v="36"/>
        <n v="82"/>
        <n v="35"/>
        <n v="56"/>
        <n v="95"/>
        <n v="65"/>
        <n v="72"/>
        <n v="57"/>
        <n v="90"/>
        <n v="45"/>
        <n v="17"/>
        <n v="61"/>
        <n v="88"/>
        <n v="23"/>
        <n v="37"/>
        <n v="96"/>
        <n v="97"/>
        <n v="11"/>
        <n v="68"/>
        <n v="16"/>
        <n v="12"/>
        <n v="32"/>
        <n v="27"/>
        <n v="47"/>
        <n v="24"/>
        <n v="73"/>
        <n v="98"/>
        <n v="83"/>
        <n v="48"/>
        <n v="66"/>
        <n v="26"/>
        <n v="53"/>
        <n v="34"/>
        <n v="22"/>
        <n v="93"/>
        <n v="77"/>
        <n v="19"/>
        <n v="76"/>
        <n v="49"/>
        <n v="92"/>
        <n v="50"/>
        <n v="15"/>
        <n v="42"/>
        <n v="62"/>
        <n v="13"/>
        <n v="84"/>
        <n v="71"/>
        <n v="33"/>
        <n v="64"/>
        <n v="18"/>
        <n v="40"/>
        <n v="75"/>
        <n v="60"/>
        <n v="28"/>
        <n v="29"/>
        <n v="46"/>
        <n v="20"/>
        <n v="86"/>
        <n v="59"/>
        <n v="74"/>
        <n v="44"/>
        <n v="78"/>
        <n v="69"/>
        <n v="85"/>
        <n v="81"/>
        <n v="39"/>
        <n v="94"/>
      </sharedItems>
    </cacheField>
    <cacheField name="Revenue" numFmtId="0">
      <sharedItems containsSemiMixedTypes="0" containsString="0" containsNumber="1" containsInteger="1" minValue="10" maxValue="1862" count="166">
        <n v="360"/>
        <n v="126"/>
        <n v="910"/>
        <n v="612"/>
        <n v="1190"/>
        <n v="186"/>
        <n v="210"/>
        <n v="1106"/>
        <n v="130"/>
        <n v="112"/>
        <n v="891"/>
        <n v="990"/>
        <n v="86"/>
        <n v="290"/>
        <n v="435"/>
        <n v="594"/>
        <n v="1026"/>
        <n v="288"/>
        <n v="1312"/>
        <n v="455"/>
        <n v="56"/>
        <n v="1615"/>
        <n v="936"/>
        <n v="228"/>
        <n v="280"/>
        <n v="540"/>
        <n v="665"/>
        <n v="70"/>
        <n v="170"/>
        <n v="1159"/>
        <n v="616"/>
        <n v="168"/>
        <n v="845"/>
        <n v="1235"/>
        <n v="414"/>
        <n v="792"/>
        <n v="333"/>
        <n v="672"/>
        <n v="87"/>
        <n v="291"/>
        <n v="143"/>
        <n v="595"/>
        <n v="23"/>
        <n v="408"/>
        <n v="390"/>
        <n v="192"/>
        <n v="156"/>
        <n v="416"/>
        <n v="405"/>
        <n v="752"/>
        <n v="264"/>
        <n v="365"/>
        <n v="392"/>
        <n v="111"/>
        <n v="1577"/>
        <n v="864"/>
        <n v="234"/>
        <n v="1386"/>
        <n v="795"/>
        <n v="34"/>
        <n v="78"/>
        <n v="352"/>
        <n v="1023"/>
        <n v="770"/>
        <n v="304"/>
        <n v="608"/>
        <n v="162"/>
        <n v="1140"/>
        <n v="344"/>
        <n v="68"/>
        <n v="1656"/>
        <n v="255"/>
        <n v="450"/>
        <n v="60"/>
        <n v="1037"/>
        <n v="315"/>
        <n v="73"/>
        <n v="884"/>
        <n v="1040"/>
        <n v="372"/>
        <n v="558"/>
        <n v="570"/>
        <n v="395"/>
        <n v="1185"/>
        <n v="26"/>
        <n v="840"/>
        <n v="1278"/>
        <n v="923"/>
        <n v="165"/>
        <n v="64"/>
        <n v="18"/>
        <n v="216"/>
        <n v="600"/>
        <n v="833"/>
        <n v="495"/>
        <n v="561"/>
        <n v="195"/>
        <n v="75"/>
        <n v="756"/>
        <n v="39"/>
        <n v="88"/>
        <n v="240"/>
        <n v="1207"/>
        <n v="330"/>
        <n v="375"/>
        <n v="528"/>
        <n v="252"/>
        <n v="85"/>
        <n v="175"/>
        <n v="1007"/>
        <n v="238"/>
        <n v="1078"/>
        <n v="28"/>
        <n v="1767"/>
        <n v="377"/>
        <n v="273"/>
        <n v="224"/>
        <n v="10"/>
        <n v="1683"/>
        <n v="184"/>
        <n v="146"/>
        <n v="376"/>
        <n v="322"/>
        <n v="40"/>
        <n v="258"/>
        <n v="504"/>
        <n v="15"/>
        <n v="708"/>
        <n v="95"/>
        <n v="512"/>
        <n v="285"/>
        <n v="55"/>
        <n v="308"/>
        <n v="98"/>
        <n v="121"/>
        <n v="518"/>
        <n v="432"/>
        <n v="164"/>
        <n v="324"/>
        <n v="893"/>
        <n v="348"/>
        <n v="1065"/>
        <n v="690"/>
        <n v="1121"/>
        <n v="1479"/>
        <n v="420"/>
        <n v="72"/>
        <n v="430"/>
        <n v="1445"/>
        <n v="440"/>
        <n v="245"/>
        <n v="138"/>
        <n v="949"/>
        <n v="220"/>
        <n v="368"/>
        <n v="759"/>
        <n v="741"/>
        <n v="660"/>
        <n v="1504"/>
        <n v="506"/>
        <n v="736"/>
        <n v="284"/>
        <n v="294"/>
        <n v="918"/>
        <n v="1862"/>
        <n v="51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x v="0"/>
    <x v="0"/>
    <x v="0"/>
  </r>
  <r>
    <x v="1"/>
    <x v="1"/>
    <x v="1"/>
    <x v="1"/>
    <x v="1"/>
    <x v="1"/>
    <x v="1"/>
  </r>
  <r>
    <x v="2"/>
    <x v="0"/>
    <x v="0"/>
    <x v="2"/>
    <x v="2"/>
    <x v="2"/>
    <x v="2"/>
  </r>
  <r>
    <x v="3"/>
    <x v="0"/>
    <x v="1"/>
    <x v="3"/>
    <x v="0"/>
    <x v="3"/>
    <x v="3"/>
  </r>
  <r>
    <x v="4"/>
    <x v="2"/>
    <x v="2"/>
    <x v="2"/>
    <x v="3"/>
    <x v="4"/>
    <x v="4"/>
  </r>
  <r>
    <x v="5"/>
    <x v="1"/>
    <x v="3"/>
    <x v="2"/>
    <x v="4"/>
    <x v="5"/>
    <x v="5"/>
  </r>
  <r>
    <x v="6"/>
    <x v="3"/>
    <x v="2"/>
    <x v="3"/>
    <x v="5"/>
    <x v="0"/>
    <x v="6"/>
  </r>
  <r>
    <x v="7"/>
    <x v="3"/>
    <x v="1"/>
    <x v="0"/>
    <x v="6"/>
    <x v="6"/>
    <x v="7"/>
  </r>
  <r>
    <x v="8"/>
    <x v="2"/>
    <x v="1"/>
    <x v="2"/>
    <x v="7"/>
    <x v="7"/>
    <x v="8"/>
  </r>
  <r>
    <x v="8"/>
    <x v="2"/>
    <x v="2"/>
    <x v="1"/>
    <x v="8"/>
    <x v="1"/>
    <x v="9"/>
  </r>
  <r>
    <x v="9"/>
    <x v="1"/>
    <x v="1"/>
    <x v="2"/>
    <x v="2"/>
    <x v="8"/>
    <x v="6"/>
  </r>
  <r>
    <x v="10"/>
    <x v="3"/>
    <x v="2"/>
    <x v="3"/>
    <x v="1"/>
    <x v="9"/>
    <x v="10"/>
  </r>
  <r>
    <x v="11"/>
    <x v="3"/>
    <x v="3"/>
    <x v="3"/>
    <x v="9"/>
    <x v="10"/>
    <x v="11"/>
  </r>
  <r>
    <x v="12"/>
    <x v="3"/>
    <x v="2"/>
    <x v="3"/>
    <x v="10"/>
    <x v="11"/>
    <x v="12"/>
  </r>
  <r>
    <x v="13"/>
    <x v="0"/>
    <x v="3"/>
    <x v="0"/>
    <x v="11"/>
    <x v="12"/>
    <x v="13"/>
  </r>
  <r>
    <x v="14"/>
    <x v="3"/>
    <x v="2"/>
    <x v="2"/>
    <x v="11"/>
    <x v="13"/>
    <x v="14"/>
  </r>
  <r>
    <x v="15"/>
    <x v="0"/>
    <x v="1"/>
    <x v="0"/>
    <x v="4"/>
    <x v="9"/>
    <x v="15"/>
  </r>
  <r>
    <x v="9"/>
    <x v="1"/>
    <x v="2"/>
    <x v="0"/>
    <x v="12"/>
    <x v="14"/>
    <x v="16"/>
  </r>
  <r>
    <x v="16"/>
    <x v="0"/>
    <x v="1"/>
    <x v="3"/>
    <x v="8"/>
    <x v="15"/>
    <x v="17"/>
  </r>
  <r>
    <x v="17"/>
    <x v="1"/>
    <x v="2"/>
    <x v="3"/>
    <x v="13"/>
    <x v="16"/>
    <x v="18"/>
  </r>
  <r>
    <x v="15"/>
    <x v="3"/>
    <x v="2"/>
    <x v="0"/>
    <x v="7"/>
    <x v="17"/>
    <x v="19"/>
  </r>
  <r>
    <x v="18"/>
    <x v="3"/>
    <x v="0"/>
    <x v="2"/>
    <x v="14"/>
    <x v="18"/>
    <x v="20"/>
  </r>
  <r>
    <x v="19"/>
    <x v="1"/>
    <x v="1"/>
    <x v="1"/>
    <x v="3"/>
    <x v="19"/>
    <x v="21"/>
  </r>
  <r>
    <x v="5"/>
    <x v="2"/>
    <x v="0"/>
    <x v="0"/>
    <x v="5"/>
    <x v="20"/>
    <x v="19"/>
  </r>
  <r>
    <x v="20"/>
    <x v="1"/>
    <x v="1"/>
    <x v="2"/>
    <x v="7"/>
    <x v="21"/>
    <x v="22"/>
  </r>
  <r>
    <x v="21"/>
    <x v="2"/>
    <x v="0"/>
    <x v="3"/>
    <x v="15"/>
    <x v="22"/>
    <x v="23"/>
  </r>
  <r>
    <x v="22"/>
    <x v="0"/>
    <x v="3"/>
    <x v="3"/>
    <x v="15"/>
    <x v="4"/>
    <x v="24"/>
  </r>
  <r>
    <x v="13"/>
    <x v="0"/>
    <x v="2"/>
    <x v="2"/>
    <x v="4"/>
    <x v="23"/>
    <x v="25"/>
  </r>
  <r>
    <x v="23"/>
    <x v="0"/>
    <x v="1"/>
    <x v="1"/>
    <x v="12"/>
    <x v="17"/>
    <x v="26"/>
  </r>
  <r>
    <x v="24"/>
    <x v="3"/>
    <x v="1"/>
    <x v="3"/>
    <x v="0"/>
    <x v="24"/>
    <x v="25"/>
  </r>
  <r>
    <x v="25"/>
    <x v="0"/>
    <x v="2"/>
    <x v="3"/>
    <x v="5"/>
    <x v="7"/>
    <x v="27"/>
  </r>
  <r>
    <x v="26"/>
    <x v="2"/>
    <x v="1"/>
    <x v="3"/>
    <x v="2"/>
    <x v="25"/>
    <x v="28"/>
  </r>
  <r>
    <x v="27"/>
    <x v="0"/>
    <x v="1"/>
    <x v="2"/>
    <x v="12"/>
    <x v="26"/>
    <x v="29"/>
  </r>
  <r>
    <x v="28"/>
    <x v="1"/>
    <x v="0"/>
    <x v="0"/>
    <x v="5"/>
    <x v="27"/>
    <x v="30"/>
  </r>
  <r>
    <x v="19"/>
    <x v="1"/>
    <x v="1"/>
    <x v="3"/>
    <x v="16"/>
    <x v="18"/>
    <x v="31"/>
  </r>
  <r>
    <x v="29"/>
    <x v="3"/>
    <x v="3"/>
    <x v="0"/>
    <x v="7"/>
    <x v="20"/>
    <x v="32"/>
  </r>
  <r>
    <x v="2"/>
    <x v="1"/>
    <x v="3"/>
    <x v="1"/>
    <x v="7"/>
    <x v="19"/>
    <x v="33"/>
  </r>
  <r>
    <x v="30"/>
    <x v="2"/>
    <x v="2"/>
    <x v="3"/>
    <x v="9"/>
    <x v="28"/>
    <x v="34"/>
  </r>
  <r>
    <x v="30"/>
    <x v="0"/>
    <x v="1"/>
    <x v="3"/>
    <x v="8"/>
    <x v="9"/>
    <x v="35"/>
  </r>
  <r>
    <x v="31"/>
    <x v="3"/>
    <x v="2"/>
    <x v="1"/>
    <x v="1"/>
    <x v="29"/>
    <x v="36"/>
  </r>
  <r>
    <x v="30"/>
    <x v="0"/>
    <x v="3"/>
    <x v="3"/>
    <x v="5"/>
    <x v="30"/>
    <x v="37"/>
  </r>
  <r>
    <x v="32"/>
    <x v="0"/>
    <x v="1"/>
    <x v="0"/>
    <x v="14"/>
    <x v="13"/>
    <x v="38"/>
  </r>
  <r>
    <x v="33"/>
    <x v="2"/>
    <x v="1"/>
    <x v="2"/>
    <x v="16"/>
    <x v="31"/>
    <x v="39"/>
  </r>
  <r>
    <x v="18"/>
    <x v="1"/>
    <x v="2"/>
    <x v="0"/>
    <x v="7"/>
    <x v="32"/>
    <x v="40"/>
  </r>
  <r>
    <x v="12"/>
    <x v="1"/>
    <x v="3"/>
    <x v="2"/>
    <x v="3"/>
    <x v="17"/>
    <x v="41"/>
  </r>
  <r>
    <x v="32"/>
    <x v="0"/>
    <x v="1"/>
    <x v="2"/>
    <x v="14"/>
    <x v="28"/>
    <x v="42"/>
  </r>
  <r>
    <x v="34"/>
    <x v="3"/>
    <x v="2"/>
    <x v="0"/>
    <x v="4"/>
    <x v="33"/>
    <x v="43"/>
  </r>
  <r>
    <x v="5"/>
    <x v="1"/>
    <x v="3"/>
    <x v="0"/>
    <x v="4"/>
    <x v="20"/>
    <x v="44"/>
  </r>
  <r>
    <x v="35"/>
    <x v="3"/>
    <x v="2"/>
    <x v="0"/>
    <x v="0"/>
    <x v="34"/>
    <x v="45"/>
  </r>
  <r>
    <x v="36"/>
    <x v="1"/>
    <x v="0"/>
    <x v="0"/>
    <x v="7"/>
    <x v="35"/>
    <x v="46"/>
  </r>
  <r>
    <x v="37"/>
    <x v="3"/>
    <x v="1"/>
    <x v="1"/>
    <x v="7"/>
    <x v="36"/>
    <x v="47"/>
  </r>
  <r>
    <x v="38"/>
    <x v="2"/>
    <x v="0"/>
    <x v="3"/>
    <x v="17"/>
    <x v="37"/>
    <x v="48"/>
  </r>
  <r>
    <x v="23"/>
    <x v="3"/>
    <x v="3"/>
    <x v="2"/>
    <x v="13"/>
    <x v="38"/>
    <x v="49"/>
  </r>
  <r>
    <x v="19"/>
    <x v="2"/>
    <x v="0"/>
    <x v="0"/>
    <x v="18"/>
    <x v="39"/>
    <x v="50"/>
  </r>
  <r>
    <x v="39"/>
    <x v="2"/>
    <x v="0"/>
    <x v="0"/>
    <x v="11"/>
    <x v="40"/>
    <x v="51"/>
  </r>
  <r>
    <x v="40"/>
    <x v="3"/>
    <x v="3"/>
    <x v="0"/>
    <x v="15"/>
    <x v="41"/>
    <x v="52"/>
  </r>
  <r>
    <x v="41"/>
    <x v="2"/>
    <x v="2"/>
    <x v="1"/>
    <x v="16"/>
    <x v="29"/>
    <x v="53"/>
  </r>
  <r>
    <x v="14"/>
    <x v="0"/>
    <x v="0"/>
    <x v="0"/>
    <x v="12"/>
    <x v="42"/>
    <x v="54"/>
  </r>
  <r>
    <x v="15"/>
    <x v="2"/>
    <x v="2"/>
    <x v="0"/>
    <x v="9"/>
    <x v="43"/>
    <x v="55"/>
  </r>
  <r>
    <x v="42"/>
    <x v="1"/>
    <x v="0"/>
    <x v="0"/>
    <x v="17"/>
    <x v="44"/>
    <x v="11"/>
  </r>
  <r>
    <x v="28"/>
    <x v="3"/>
    <x v="2"/>
    <x v="3"/>
    <x v="1"/>
    <x v="45"/>
    <x v="56"/>
  </r>
  <r>
    <x v="19"/>
    <x v="0"/>
    <x v="3"/>
    <x v="1"/>
    <x v="3"/>
    <x v="19"/>
    <x v="21"/>
  </r>
  <r>
    <x v="43"/>
    <x v="3"/>
    <x v="0"/>
    <x v="0"/>
    <x v="6"/>
    <x v="9"/>
    <x v="57"/>
  </r>
  <r>
    <x v="44"/>
    <x v="1"/>
    <x v="3"/>
    <x v="2"/>
    <x v="17"/>
    <x v="46"/>
    <x v="58"/>
  </r>
  <r>
    <x v="45"/>
    <x v="1"/>
    <x v="0"/>
    <x v="2"/>
    <x v="14"/>
    <x v="47"/>
    <x v="59"/>
  </r>
  <r>
    <x v="31"/>
    <x v="1"/>
    <x v="3"/>
    <x v="2"/>
    <x v="16"/>
    <x v="45"/>
    <x v="60"/>
  </r>
  <r>
    <x v="46"/>
    <x v="2"/>
    <x v="3"/>
    <x v="1"/>
    <x v="13"/>
    <x v="48"/>
    <x v="61"/>
  </r>
  <r>
    <x v="47"/>
    <x v="2"/>
    <x v="0"/>
    <x v="1"/>
    <x v="18"/>
    <x v="49"/>
    <x v="62"/>
  </r>
  <r>
    <x v="48"/>
    <x v="3"/>
    <x v="0"/>
    <x v="2"/>
    <x v="0"/>
    <x v="47"/>
    <x v="43"/>
  </r>
  <r>
    <x v="49"/>
    <x v="3"/>
    <x v="0"/>
    <x v="0"/>
    <x v="2"/>
    <x v="50"/>
    <x v="63"/>
  </r>
  <r>
    <x v="50"/>
    <x v="0"/>
    <x v="1"/>
    <x v="1"/>
    <x v="13"/>
    <x v="51"/>
    <x v="64"/>
  </r>
  <r>
    <x v="38"/>
    <x v="0"/>
    <x v="2"/>
    <x v="2"/>
    <x v="8"/>
    <x v="52"/>
    <x v="65"/>
  </r>
  <r>
    <x v="15"/>
    <x v="3"/>
    <x v="1"/>
    <x v="2"/>
    <x v="4"/>
    <x v="37"/>
    <x v="66"/>
  </r>
  <r>
    <x v="51"/>
    <x v="2"/>
    <x v="1"/>
    <x v="0"/>
    <x v="0"/>
    <x v="19"/>
    <x v="67"/>
  </r>
  <r>
    <x v="52"/>
    <x v="1"/>
    <x v="3"/>
    <x v="3"/>
    <x v="8"/>
    <x v="11"/>
    <x v="68"/>
  </r>
  <r>
    <x v="38"/>
    <x v="3"/>
    <x v="0"/>
    <x v="1"/>
    <x v="15"/>
    <x v="25"/>
    <x v="69"/>
  </r>
  <r>
    <x v="52"/>
    <x v="0"/>
    <x v="2"/>
    <x v="0"/>
    <x v="8"/>
    <x v="53"/>
    <x v="52"/>
  </r>
  <r>
    <x v="1"/>
    <x v="2"/>
    <x v="3"/>
    <x v="2"/>
    <x v="9"/>
    <x v="54"/>
    <x v="70"/>
  </r>
  <r>
    <x v="53"/>
    <x v="3"/>
    <x v="1"/>
    <x v="2"/>
    <x v="11"/>
    <x v="3"/>
    <x v="71"/>
  </r>
  <r>
    <x v="37"/>
    <x v="3"/>
    <x v="0"/>
    <x v="0"/>
    <x v="1"/>
    <x v="55"/>
    <x v="72"/>
  </r>
  <r>
    <x v="41"/>
    <x v="2"/>
    <x v="3"/>
    <x v="1"/>
    <x v="15"/>
    <x v="56"/>
    <x v="73"/>
  </r>
  <r>
    <x v="44"/>
    <x v="3"/>
    <x v="0"/>
    <x v="3"/>
    <x v="3"/>
    <x v="26"/>
    <x v="74"/>
  </r>
  <r>
    <x v="54"/>
    <x v="2"/>
    <x v="3"/>
    <x v="3"/>
    <x v="1"/>
    <x v="17"/>
    <x v="75"/>
  </r>
  <r>
    <x v="55"/>
    <x v="1"/>
    <x v="0"/>
    <x v="2"/>
    <x v="14"/>
    <x v="40"/>
    <x v="76"/>
  </r>
  <r>
    <x v="30"/>
    <x v="2"/>
    <x v="1"/>
    <x v="1"/>
    <x v="7"/>
    <x v="33"/>
    <x v="77"/>
  </r>
  <r>
    <x v="10"/>
    <x v="2"/>
    <x v="2"/>
    <x v="3"/>
    <x v="13"/>
    <x v="20"/>
    <x v="78"/>
  </r>
  <r>
    <x v="39"/>
    <x v="2"/>
    <x v="1"/>
    <x v="1"/>
    <x v="7"/>
    <x v="33"/>
    <x v="77"/>
  </r>
  <r>
    <x v="56"/>
    <x v="3"/>
    <x v="2"/>
    <x v="1"/>
    <x v="6"/>
    <x v="6"/>
    <x v="7"/>
  </r>
  <r>
    <x v="57"/>
    <x v="3"/>
    <x v="0"/>
    <x v="2"/>
    <x v="16"/>
    <x v="57"/>
    <x v="1"/>
  </r>
  <r>
    <x v="2"/>
    <x v="2"/>
    <x v="3"/>
    <x v="3"/>
    <x v="4"/>
    <x v="58"/>
    <x v="79"/>
  </r>
  <r>
    <x v="3"/>
    <x v="3"/>
    <x v="1"/>
    <x v="0"/>
    <x v="9"/>
    <x v="5"/>
    <x v="80"/>
  </r>
  <r>
    <x v="47"/>
    <x v="0"/>
    <x v="2"/>
    <x v="2"/>
    <x v="12"/>
    <x v="0"/>
    <x v="81"/>
  </r>
  <r>
    <x v="7"/>
    <x v="0"/>
    <x v="1"/>
    <x v="3"/>
    <x v="11"/>
    <x v="6"/>
    <x v="82"/>
  </r>
  <r>
    <x v="30"/>
    <x v="3"/>
    <x v="2"/>
    <x v="3"/>
    <x v="17"/>
    <x v="6"/>
    <x v="83"/>
  </r>
  <r>
    <x v="58"/>
    <x v="3"/>
    <x v="1"/>
    <x v="3"/>
    <x v="10"/>
    <x v="59"/>
    <x v="84"/>
  </r>
  <r>
    <x v="59"/>
    <x v="2"/>
    <x v="2"/>
    <x v="3"/>
    <x v="2"/>
    <x v="60"/>
    <x v="85"/>
  </r>
  <r>
    <x v="29"/>
    <x v="1"/>
    <x v="2"/>
    <x v="3"/>
    <x v="9"/>
    <x v="61"/>
    <x v="86"/>
  </r>
  <r>
    <x v="60"/>
    <x v="3"/>
    <x v="0"/>
    <x v="1"/>
    <x v="7"/>
    <x v="61"/>
    <x v="87"/>
  </r>
  <r>
    <x v="14"/>
    <x v="0"/>
    <x v="2"/>
    <x v="2"/>
    <x v="11"/>
    <x v="62"/>
    <x v="88"/>
  </r>
  <r>
    <x v="11"/>
    <x v="2"/>
    <x v="0"/>
    <x v="1"/>
    <x v="14"/>
    <x v="63"/>
    <x v="89"/>
  </r>
  <r>
    <x v="61"/>
    <x v="3"/>
    <x v="2"/>
    <x v="0"/>
    <x v="14"/>
    <x v="64"/>
    <x v="90"/>
  </r>
  <r>
    <x v="23"/>
    <x v="0"/>
    <x v="3"/>
    <x v="3"/>
    <x v="9"/>
    <x v="35"/>
    <x v="91"/>
  </r>
  <r>
    <x v="19"/>
    <x v="0"/>
    <x v="3"/>
    <x v="2"/>
    <x v="17"/>
    <x v="65"/>
    <x v="92"/>
  </r>
  <r>
    <x v="62"/>
    <x v="1"/>
    <x v="3"/>
    <x v="3"/>
    <x v="3"/>
    <x v="53"/>
    <x v="93"/>
  </r>
  <r>
    <x v="63"/>
    <x v="2"/>
    <x v="2"/>
    <x v="2"/>
    <x v="18"/>
    <x v="24"/>
    <x v="94"/>
  </r>
  <r>
    <x v="2"/>
    <x v="2"/>
    <x v="0"/>
    <x v="1"/>
    <x v="3"/>
    <x v="62"/>
    <x v="95"/>
  </r>
  <r>
    <x v="64"/>
    <x v="1"/>
    <x v="0"/>
    <x v="2"/>
    <x v="7"/>
    <x v="56"/>
    <x v="96"/>
  </r>
  <r>
    <x v="65"/>
    <x v="1"/>
    <x v="2"/>
    <x v="0"/>
    <x v="14"/>
    <x v="66"/>
    <x v="97"/>
  </r>
  <r>
    <x v="23"/>
    <x v="2"/>
    <x v="3"/>
    <x v="0"/>
    <x v="10"/>
    <x v="49"/>
    <x v="5"/>
  </r>
  <r>
    <x v="43"/>
    <x v="2"/>
    <x v="3"/>
    <x v="2"/>
    <x v="1"/>
    <x v="60"/>
    <x v="98"/>
  </r>
  <r>
    <x v="40"/>
    <x v="3"/>
    <x v="0"/>
    <x v="2"/>
    <x v="16"/>
    <x v="59"/>
    <x v="99"/>
  </r>
  <r>
    <x v="9"/>
    <x v="3"/>
    <x v="3"/>
    <x v="2"/>
    <x v="14"/>
    <x v="27"/>
    <x v="100"/>
  </r>
  <r>
    <x v="66"/>
    <x v="1"/>
    <x v="1"/>
    <x v="2"/>
    <x v="13"/>
    <x v="56"/>
    <x v="101"/>
  </r>
  <r>
    <x v="45"/>
    <x v="3"/>
    <x v="0"/>
    <x v="0"/>
    <x v="4"/>
    <x v="67"/>
    <x v="0"/>
  </r>
  <r>
    <x v="9"/>
    <x v="0"/>
    <x v="3"/>
    <x v="3"/>
    <x v="3"/>
    <x v="61"/>
    <x v="102"/>
  </r>
  <r>
    <x v="53"/>
    <x v="3"/>
    <x v="0"/>
    <x v="2"/>
    <x v="11"/>
    <x v="44"/>
    <x v="103"/>
  </r>
  <r>
    <x v="67"/>
    <x v="3"/>
    <x v="1"/>
    <x v="2"/>
    <x v="11"/>
    <x v="66"/>
    <x v="104"/>
  </r>
  <r>
    <x v="48"/>
    <x v="0"/>
    <x v="0"/>
    <x v="0"/>
    <x v="4"/>
    <x v="27"/>
    <x v="105"/>
  </r>
  <r>
    <x v="45"/>
    <x v="1"/>
    <x v="0"/>
    <x v="0"/>
    <x v="16"/>
    <x v="60"/>
    <x v="106"/>
  </r>
  <r>
    <x v="46"/>
    <x v="0"/>
    <x v="0"/>
    <x v="1"/>
    <x v="11"/>
    <x v="25"/>
    <x v="107"/>
  </r>
  <r>
    <x v="46"/>
    <x v="3"/>
    <x v="0"/>
    <x v="2"/>
    <x v="11"/>
    <x v="17"/>
    <x v="108"/>
  </r>
  <r>
    <x v="20"/>
    <x v="1"/>
    <x v="1"/>
    <x v="1"/>
    <x v="2"/>
    <x v="67"/>
    <x v="92"/>
  </r>
  <r>
    <x v="68"/>
    <x v="3"/>
    <x v="2"/>
    <x v="0"/>
    <x v="2"/>
    <x v="14"/>
    <x v="25"/>
  </r>
  <r>
    <x v="62"/>
    <x v="0"/>
    <x v="0"/>
    <x v="0"/>
    <x v="12"/>
    <x v="46"/>
    <x v="109"/>
  </r>
  <r>
    <x v="69"/>
    <x v="0"/>
    <x v="0"/>
    <x v="3"/>
    <x v="3"/>
    <x v="1"/>
    <x v="110"/>
  </r>
  <r>
    <x v="34"/>
    <x v="3"/>
    <x v="3"/>
    <x v="2"/>
    <x v="6"/>
    <x v="6"/>
    <x v="7"/>
  </r>
  <r>
    <x v="35"/>
    <x v="2"/>
    <x v="0"/>
    <x v="1"/>
    <x v="1"/>
    <x v="17"/>
    <x v="75"/>
  </r>
  <r>
    <x v="3"/>
    <x v="2"/>
    <x v="3"/>
    <x v="0"/>
    <x v="6"/>
    <x v="50"/>
    <x v="111"/>
  </r>
  <r>
    <x v="70"/>
    <x v="0"/>
    <x v="2"/>
    <x v="0"/>
    <x v="14"/>
    <x v="68"/>
    <x v="112"/>
  </r>
  <r>
    <x v="54"/>
    <x v="0"/>
    <x v="1"/>
    <x v="1"/>
    <x v="12"/>
    <x v="49"/>
    <x v="113"/>
  </r>
  <r>
    <x v="20"/>
    <x v="2"/>
    <x v="1"/>
    <x v="3"/>
    <x v="7"/>
    <x v="69"/>
    <x v="114"/>
  </r>
  <r>
    <x v="57"/>
    <x v="2"/>
    <x v="2"/>
    <x v="0"/>
    <x v="7"/>
    <x v="8"/>
    <x v="115"/>
  </r>
  <r>
    <x v="71"/>
    <x v="3"/>
    <x v="1"/>
    <x v="2"/>
    <x v="15"/>
    <x v="18"/>
    <x v="116"/>
  </r>
  <r>
    <x v="30"/>
    <x v="3"/>
    <x v="2"/>
    <x v="0"/>
    <x v="14"/>
    <x v="7"/>
    <x v="117"/>
  </r>
  <r>
    <x v="9"/>
    <x v="2"/>
    <x v="2"/>
    <x v="2"/>
    <x v="3"/>
    <x v="9"/>
    <x v="118"/>
  </r>
  <r>
    <x v="72"/>
    <x v="3"/>
    <x v="2"/>
    <x v="1"/>
    <x v="8"/>
    <x v="28"/>
    <x v="119"/>
  </r>
  <r>
    <x v="73"/>
    <x v="3"/>
    <x v="1"/>
    <x v="2"/>
    <x v="10"/>
    <x v="40"/>
    <x v="120"/>
  </r>
  <r>
    <x v="44"/>
    <x v="1"/>
    <x v="3"/>
    <x v="1"/>
    <x v="8"/>
    <x v="38"/>
    <x v="121"/>
  </r>
  <r>
    <x v="74"/>
    <x v="3"/>
    <x v="2"/>
    <x v="2"/>
    <x v="5"/>
    <x v="70"/>
    <x v="122"/>
  </r>
  <r>
    <x v="25"/>
    <x v="0"/>
    <x v="0"/>
    <x v="1"/>
    <x v="10"/>
    <x v="71"/>
    <x v="123"/>
  </r>
  <r>
    <x v="46"/>
    <x v="3"/>
    <x v="1"/>
    <x v="2"/>
    <x v="16"/>
    <x v="72"/>
    <x v="124"/>
  </r>
  <r>
    <x v="65"/>
    <x v="3"/>
    <x v="2"/>
    <x v="3"/>
    <x v="9"/>
    <x v="35"/>
    <x v="91"/>
  </r>
  <r>
    <x v="73"/>
    <x v="2"/>
    <x v="2"/>
    <x v="2"/>
    <x v="0"/>
    <x v="57"/>
    <x v="125"/>
  </r>
  <r>
    <x v="31"/>
    <x v="0"/>
    <x v="0"/>
    <x v="2"/>
    <x v="14"/>
    <x v="56"/>
    <x v="126"/>
  </r>
  <r>
    <x v="47"/>
    <x v="3"/>
    <x v="3"/>
    <x v="3"/>
    <x v="0"/>
    <x v="73"/>
    <x v="127"/>
  </r>
  <r>
    <x v="12"/>
    <x v="3"/>
    <x v="3"/>
    <x v="0"/>
    <x v="11"/>
    <x v="51"/>
    <x v="128"/>
  </r>
  <r>
    <x v="66"/>
    <x v="1"/>
    <x v="3"/>
    <x v="0"/>
    <x v="3"/>
    <x v="1"/>
    <x v="110"/>
  </r>
  <r>
    <x v="68"/>
    <x v="3"/>
    <x v="2"/>
    <x v="2"/>
    <x v="13"/>
    <x v="36"/>
    <x v="129"/>
  </r>
  <r>
    <x v="41"/>
    <x v="3"/>
    <x v="2"/>
    <x v="3"/>
    <x v="17"/>
    <x v="51"/>
    <x v="130"/>
  </r>
  <r>
    <x v="39"/>
    <x v="1"/>
    <x v="2"/>
    <x v="2"/>
    <x v="17"/>
    <x v="46"/>
    <x v="58"/>
  </r>
  <r>
    <x v="75"/>
    <x v="2"/>
    <x v="1"/>
    <x v="1"/>
    <x v="11"/>
    <x v="32"/>
    <x v="131"/>
  </r>
  <r>
    <x v="40"/>
    <x v="3"/>
    <x v="0"/>
    <x v="1"/>
    <x v="6"/>
    <x v="48"/>
    <x v="132"/>
  </r>
  <r>
    <x v="76"/>
    <x v="1"/>
    <x v="2"/>
    <x v="2"/>
    <x v="10"/>
    <x v="53"/>
    <x v="133"/>
  </r>
  <r>
    <x v="2"/>
    <x v="0"/>
    <x v="0"/>
    <x v="0"/>
    <x v="18"/>
    <x v="32"/>
    <x v="134"/>
  </r>
  <r>
    <x v="41"/>
    <x v="2"/>
    <x v="0"/>
    <x v="0"/>
    <x v="12"/>
    <x v="49"/>
    <x v="113"/>
  </r>
  <r>
    <x v="27"/>
    <x v="0"/>
    <x v="3"/>
    <x v="2"/>
    <x v="5"/>
    <x v="74"/>
    <x v="135"/>
  </r>
  <r>
    <x v="77"/>
    <x v="0"/>
    <x v="1"/>
    <x v="2"/>
    <x v="4"/>
    <x v="21"/>
    <x v="136"/>
  </r>
  <r>
    <x v="32"/>
    <x v="1"/>
    <x v="2"/>
    <x v="1"/>
    <x v="10"/>
    <x v="16"/>
    <x v="137"/>
  </r>
  <r>
    <x v="53"/>
    <x v="3"/>
    <x v="3"/>
    <x v="0"/>
    <x v="4"/>
    <x v="45"/>
    <x v="46"/>
  </r>
  <r>
    <x v="78"/>
    <x v="1"/>
    <x v="3"/>
    <x v="2"/>
    <x v="9"/>
    <x v="64"/>
    <x v="138"/>
  </r>
  <r>
    <x v="0"/>
    <x v="1"/>
    <x v="2"/>
    <x v="1"/>
    <x v="10"/>
    <x v="60"/>
    <x v="31"/>
  </r>
  <r>
    <x v="78"/>
    <x v="1"/>
    <x v="0"/>
    <x v="0"/>
    <x v="9"/>
    <x v="39"/>
    <x v="136"/>
  </r>
  <r>
    <x v="38"/>
    <x v="1"/>
    <x v="3"/>
    <x v="3"/>
    <x v="17"/>
    <x v="62"/>
    <x v="94"/>
  </r>
  <r>
    <x v="79"/>
    <x v="2"/>
    <x v="0"/>
    <x v="1"/>
    <x v="12"/>
    <x v="38"/>
    <x v="139"/>
  </r>
  <r>
    <x v="71"/>
    <x v="3"/>
    <x v="1"/>
    <x v="0"/>
    <x v="10"/>
    <x v="75"/>
    <x v="100"/>
  </r>
  <r>
    <x v="2"/>
    <x v="0"/>
    <x v="0"/>
    <x v="0"/>
    <x v="4"/>
    <x v="12"/>
    <x v="140"/>
  </r>
  <r>
    <x v="80"/>
    <x v="0"/>
    <x v="1"/>
    <x v="1"/>
    <x v="14"/>
    <x v="76"/>
    <x v="60"/>
  </r>
  <r>
    <x v="63"/>
    <x v="3"/>
    <x v="0"/>
    <x v="3"/>
    <x v="17"/>
    <x v="61"/>
    <x v="141"/>
  </r>
  <r>
    <x v="49"/>
    <x v="0"/>
    <x v="3"/>
    <x v="1"/>
    <x v="2"/>
    <x v="77"/>
    <x v="142"/>
  </r>
  <r>
    <x v="81"/>
    <x v="3"/>
    <x v="3"/>
    <x v="0"/>
    <x v="12"/>
    <x v="73"/>
    <x v="143"/>
  </r>
  <r>
    <x v="82"/>
    <x v="0"/>
    <x v="1"/>
    <x v="2"/>
    <x v="3"/>
    <x v="13"/>
    <x v="144"/>
  </r>
  <r>
    <x v="43"/>
    <x v="1"/>
    <x v="2"/>
    <x v="2"/>
    <x v="11"/>
    <x v="60"/>
    <x v="145"/>
  </r>
  <r>
    <x v="26"/>
    <x v="0"/>
    <x v="1"/>
    <x v="1"/>
    <x v="15"/>
    <x v="64"/>
    <x v="146"/>
  </r>
  <r>
    <x v="74"/>
    <x v="3"/>
    <x v="1"/>
    <x v="0"/>
    <x v="2"/>
    <x v="11"/>
    <x v="147"/>
  </r>
  <r>
    <x v="69"/>
    <x v="3"/>
    <x v="0"/>
    <x v="2"/>
    <x v="3"/>
    <x v="78"/>
    <x v="148"/>
  </r>
  <r>
    <x v="83"/>
    <x v="3"/>
    <x v="0"/>
    <x v="0"/>
    <x v="2"/>
    <x v="75"/>
    <x v="149"/>
  </r>
  <r>
    <x v="27"/>
    <x v="3"/>
    <x v="1"/>
    <x v="1"/>
    <x v="3"/>
    <x v="7"/>
    <x v="28"/>
  </r>
  <r>
    <x v="64"/>
    <x v="3"/>
    <x v="3"/>
    <x v="2"/>
    <x v="11"/>
    <x v="53"/>
    <x v="150"/>
  </r>
  <r>
    <x v="30"/>
    <x v="2"/>
    <x v="0"/>
    <x v="0"/>
    <x v="10"/>
    <x v="40"/>
    <x v="120"/>
  </r>
  <r>
    <x v="84"/>
    <x v="2"/>
    <x v="2"/>
    <x v="2"/>
    <x v="4"/>
    <x v="5"/>
    <x v="5"/>
  </r>
  <r>
    <x v="51"/>
    <x v="0"/>
    <x v="0"/>
    <x v="1"/>
    <x v="10"/>
    <x v="77"/>
    <x v="151"/>
  </r>
  <r>
    <x v="69"/>
    <x v="3"/>
    <x v="0"/>
    <x v="0"/>
    <x v="7"/>
    <x v="40"/>
    <x v="152"/>
  </r>
  <r>
    <x v="69"/>
    <x v="0"/>
    <x v="2"/>
    <x v="2"/>
    <x v="18"/>
    <x v="79"/>
    <x v="10"/>
  </r>
  <r>
    <x v="44"/>
    <x v="3"/>
    <x v="1"/>
    <x v="1"/>
    <x v="18"/>
    <x v="71"/>
    <x v="153"/>
  </r>
  <r>
    <x v="42"/>
    <x v="3"/>
    <x v="2"/>
    <x v="2"/>
    <x v="13"/>
    <x v="28"/>
    <x v="154"/>
  </r>
  <r>
    <x v="16"/>
    <x v="2"/>
    <x v="1"/>
    <x v="2"/>
    <x v="18"/>
    <x v="77"/>
    <x v="155"/>
  </r>
  <r>
    <x v="30"/>
    <x v="2"/>
    <x v="1"/>
    <x v="3"/>
    <x v="12"/>
    <x v="80"/>
    <x v="156"/>
  </r>
  <r>
    <x v="8"/>
    <x v="1"/>
    <x v="1"/>
    <x v="3"/>
    <x v="17"/>
    <x v="75"/>
    <x v="157"/>
  </r>
  <r>
    <x v="28"/>
    <x v="2"/>
    <x v="2"/>
    <x v="1"/>
    <x v="13"/>
    <x v="81"/>
    <x v="158"/>
  </r>
  <r>
    <x v="23"/>
    <x v="1"/>
    <x v="1"/>
    <x v="3"/>
    <x v="18"/>
    <x v="70"/>
    <x v="159"/>
  </r>
  <r>
    <x v="30"/>
    <x v="1"/>
    <x v="3"/>
    <x v="1"/>
    <x v="13"/>
    <x v="1"/>
    <x v="116"/>
  </r>
  <r>
    <x v="85"/>
    <x v="1"/>
    <x v="2"/>
    <x v="3"/>
    <x v="8"/>
    <x v="54"/>
    <x v="160"/>
  </r>
  <r>
    <x v="66"/>
    <x v="1"/>
    <x v="3"/>
    <x v="2"/>
    <x v="15"/>
    <x v="13"/>
    <x v="140"/>
  </r>
  <r>
    <x v="75"/>
    <x v="1"/>
    <x v="1"/>
    <x v="1"/>
    <x v="8"/>
    <x v="17"/>
    <x v="24"/>
  </r>
  <r>
    <x v="30"/>
    <x v="0"/>
    <x v="0"/>
    <x v="1"/>
    <x v="15"/>
    <x v="61"/>
    <x v="161"/>
  </r>
  <r>
    <x v="77"/>
    <x v="2"/>
    <x v="1"/>
    <x v="2"/>
    <x v="16"/>
    <x v="59"/>
    <x v="99"/>
  </r>
  <r>
    <x v="12"/>
    <x v="1"/>
    <x v="3"/>
    <x v="1"/>
    <x v="16"/>
    <x v="41"/>
    <x v="162"/>
  </r>
  <r>
    <x v="86"/>
    <x v="3"/>
    <x v="3"/>
    <x v="1"/>
    <x v="9"/>
    <x v="3"/>
    <x v="163"/>
  </r>
  <r>
    <x v="3"/>
    <x v="2"/>
    <x v="2"/>
    <x v="3"/>
    <x v="12"/>
    <x v="41"/>
    <x v="164"/>
  </r>
  <r>
    <x v="75"/>
    <x v="2"/>
    <x v="0"/>
    <x v="1"/>
    <x v="12"/>
    <x v="37"/>
    <x v="1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7">
    <pivotField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dataField="1" compact="0" showAl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7">
    <pivotField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3"/>
        <item x="1"/>
        <item x="0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dataField="1" compact="0" showAl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7">
    <pivotField axis="axisRow"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dataField="1" compact="0" showAl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8" firstHeaderRow="0" firstDataRow="1" firstDataCol="1"/>
  <pivotFields count="7">
    <pivotField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2"/>
        <item x="3"/>
        <item x="1"/>
        <item x="0"/>
        <item t="default"/>
      </items>
    </pivotField>
    <pivotField dataField="1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dataField="1" compact="0" showAl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Sum of Units Sold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2:C7" firstHeaderRow="1" firstDataRow="1" firstDataCol="1"/>
  <pivotFields count="7"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compact="0" sortType="ascending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dataField="1" compact="0" showAl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2:I7" firstHeaderRow="1" firstDataRow="1" firstDataCol="1"/>
  <pivotFields count="7"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ortType="descending" showAll="0">
      <items count="5">
        <item x="2"/>
        <item x="0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dataField="1" compact="0" showAl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23:C28" firstHeaderRow="1" firstDataRow="1" firstDataCol="1"/>
  <pivotFields count="7">
    <pivotField axis="axisRow" compact="0" multipleItemSelectionAllowed="1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h="1" x="0"/>
        <item h="1" x="1"/>
        <item h="1"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dataField="1" compact="0" showAll="0">
      <items count="16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t="default"/>
      </items>
    </pivotField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23:J28" firstHeaderRow="0" firstDataRow="1" firstDataCol="1"/>
  <pivotFields count="7"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2"/>
        <item x="3"/>
        <item x="1"/>
        <item x="0"/>
        <item t="default"/>
      </items>
    </pivotField>
    <pivotField dataField="1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dataField="1" compact="0" showAl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Sum of Units Sold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8.xml"/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I8" sqref="I8"/>
    </sheetView>
  </sheetViews>
  <sheetFormatPr defaultColWidth="8.88888888888889" defaultRowHeight="14.4" outlineLevelRow="7" outlineLevelCol="1"/>
  <cols>
    <col min="1" max="1" width="11.6666666666667"/>
    <col min="2" max="2" width="16.1111111111111"/>
  </cols>
  <sheetData>
    <row r="3" spans="1:2">
      <c r="A3" t="s">
        <v>0</v>
      </c>
      <c r="B3" t="s">
        <v>1</v>
      </c>
    </row>
    <row r="4" spans="1:2">
      <c r="A4" t="s">
        <v>2</v>
      </c>
      <c r="B4">
        <v>23750</v>
      </c>
    </row>
    <row r="5" spans="1:2">
      <c r="A5" t="s">
        <v>3</v>
      </c>
      <c r="B5">
        <v>21059</v>
      </c>
    </row>
    <row r="6" spans="1:2">
      <c r="A6" t="s">
        <v>4</v>
      </c>
      <c r="B6">
        <v>28322</v>
      </c>
    </row>
    <row r="7" spans="1:2">
      <c r="A7" t="s">
        <v>5</v>
      </c>
      <c r="B7">
        <v>30715</v>
      </c>
    </row>
    <row r="8" spans="1:2">
      <c r="A8" t="s">
        <v>6</v>
      </c>
      <c r="B8">
        <v>103846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:B8"/>
    </sheetView>
  </sheetViews>
  <sheetFormatPr defaultColWidth="8.88888888888889" defaultRowHeight="14.4" outlineLevelRow="7" outlineLevelCol="1"/>
  <cols>
    <col min="1" max="1" width="11.6666666666667"/>
    <col min="2" max="2" width="16.1111111111111"/>
  </cols>
  <sheetData>
    <row r="3" spans="1:2">
      <c r="A3" t="s">
        <v>7</v>
      </c>
      <c r="B3" t="s">
        <v>1</v>
      </c>
    </row>
    <row r="4" spans="1:2">
      <c r="A4" t="s">
        <v>8</v>
      </c>
      <c r="B4">
        <v>25034</v>
      </c>
    </row>
    <row r="5" spans="1:2">
      <c r="A5" t="s">
        <v>9</v>
      </c>
      <c r="B5">
        <v>24532</v>
      </c>
    </row>
    <row r="6" spans="1:2">
      <c r="A6" t="s">
        <v>10</v>
      </c>
      <c r="B6">
        <v>25733</v>
      </c>
    </row>
    <row r="7" spans="1:2">
      <c r="A7" t="s">
        <v>11</v>
      </c>
      <c r="B7">
        <v>28547</v>
      </c>
    </row>
    <row r="8" spans="1:2">
      <c r="A8" t="s">
        <v>6</v>
      </c>
      <c r="B8">
        <v>103846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6" sqref="A3:B8"/>
    </sheetView>
  </sheetViews>
  <sheetFormatPr defaultColWidth="8.88888888888889" defaultRowHeight="14.4" outlineLevelRow="7" outlineLevelCol="1"/>
  <cols>
    <col min="1" max="1" width="11.6666666666667"/>
    <col min="2" max="2" width="16.1111111111111"/>
  </cols>
  <sheetData>
    <row r="3" spans="1:2">
      <c r="A3" t="s">
        <v>12</v>
      </c>
      <c r="B3" t="s">
        <v>1</v>
      </c>
    </row>
    <row r="4" spans="1:2">
      <c r="A4" t="s">
        <v>13</v>
      </c>
      <c r="B4">
        <v>28980</v>
      </c>
    </row>
    <row r="5" spans="1:2">
      <c r="A5" t="s">
        <v>14</v>
      </c>
      <c r="B5">
        <v>22498</v>
      </c>
    </row>
    <row r="6" spans="1:2">
      <c r="A6" t="s">
        <v>15</v>
      </c>
      <c r="B6">
        <v>42050</v>
      </c>
    </row>
    <row r="7" spans="1:2">
      <c r="A7" t="s">
        <v>16</v>
      </c>
      <c r="B7">
        <v>10318</v>
      </c>
    </row>
    <row r="8" spans="1:2">
      <c r="A8" t="s">
        <v>6</v>
      </c>
      <c r="B8">
        <v>103846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workbookViewId="0">
      <selection activeCell="L23" sqref="K23:L23"/>
    </sheetView>
  </sheetViews>
  <sheetFormatPr defaultColWidth="8.88888888888889" defaultRowHeight="14.4" outlineLevelRow="7" outlineLevelCol="2"/>
  <cols>
    <col min="1" max="1" width="13.8888888888889"/>
    <col min="2" max="3" width="16.6666666666667"/>
  </cols>
  <sheetData>
    <row r="3" spans="1:3">
      <c r="A3" t="s">
        <v>17</v>
      </c>
      <c r="B3" t="s">
        <v>1</v>
      </c>
      <c r="C3" t="s">
        <v>18</v>
      </c>
    </row>
    <row r="4" spans="1:3">
      <c r="A4" t="s">
        <v>19</v>
      </c>
      <c r="B4">
        <v>28753</v>
      </c>
      <c r="C4">
        <v>535</v>
      </c>
    </row>
    <row r="5" spans="1:3">
      <c r="A5" t="s">
        <v>20</v>
      </c>
      <c r="B5">
        <v>25339</v>
      </c>
      <c r="C5">
        <v>504</v>
      </c>
    </row>
    <row r="6" spans="1:3">
      <c r="A6" t="s">
        <v>21</v>
      </c>
      <c r="B6">
        <v>22797</v>
      </c>
      <c r="C6">
        <v>462</v>
      </c>
    </row>
    <row r="7" spans="1:3">
      <c r="A7" t="s">
        <v>22</v>
      </c>
      <c r="B7">
        <v>26957</v>
      </c>
      <c r="C7">
        <v>505</v>
      </c>
    </row>
    <row r="8" spans="1:3">
      <c r="A8" t="s">
        <v>6</v>
      </c>
      <c r="B8">
        <v>103846</v>
      </c>
      <c r="C8">
        <v>2006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zoomScaleSheetLayoutView="60" workbookViewId="0">
      <selection activeCell="J2" sqref="J2:J6"/>
    </sheetView>
  </sheetViews>
  <sheetFormatPr defaultColWidth="10" defaultRowHeight="14.4"/>
  <cols>
    <col min="7" max="7" width="12.8888888888889" customWidth="1"/>
  </cols>
  <sheetData>
    <row r="1" spans="1:7">
      <c r="A1" t="s">
        <v>12</v>
      </c>
      <c r="B1" t="s">
        <v>0</v>
      </c>
      <c r="C1" t="s">
        <v>7</v>
      </c>
      <c r="D1" t="s">
        <v>17</v>
      </c>
      <c r="E1" t="s">
        <v>23</v>
      </c>
      <c r="F1" t="s">
        <v>24</v>
      </c>
      <c r="G1" t="s">
        <v>25</v>
      </c>
    </row>
    <row r="2" spans="1:10">
      <c r="A2" s="6">
        <v>45709</v>
      </c>
      <c r="B2" t="s">
        <v>2</v>
      </c>
      <c r="C2" t="s">
        <v>10</v>
      </c>
      <c r="D2" t="s">
        <v>22</v>
      </c>
      <c r="E2">
        <v>12</v>
      </c>
      <c r="F2">
        <v>30</v>
      </c>
      <c r="G2" s="5">
        <f>E2*F2</f>
        <v>360</v>
      </c>
      <c r="J2" s="5"/>
    </row>
    <row r="3" spans="1:10">
      <c r="A3" s="6">
        <v>45750</v>
      </c>
      <c r="B3" t="s">
        <v>3</v>
      </c>
      <c r="C3" t="s">
        <v>9</v>
      </c>
      <c r="D3" t="s">
        <v>21</v>
      </c>
      <c r="E3">
        <v>9</v>
      </c>
      <c r="F3">
        <v>14</v>
      </c>
      <c r="G3" s="5">
        <f t="shared" ref="G3:G37" si="0">E3*F3</f>
        <v>126</v>
      </c>
      <c r="J3" s="5"/>
    </row>
    <row r="4" spans="1:10">
      <c r="A4" s="6">
        <v>45672</v>
      </c>
      <c r="B4" t="s">
        <v>2</v>
      </c>
      <c r="C4" t="s">
        <v>10</v>
      </c>
      <c r="D4" t="s">
        <v>19</v>
      </c>
      <c r="E4">
        <v>10</v>
      </c>
      <c r="F4">
        <v>91</v>
      </c>
      <c r="G4" s="5">
        <f t="shared" si="0"/>
        <v>910</v>
      </c>
      <c r="J4" s="5"/>
    </row>
    <row r="5" spans="1:10">
      <c r="A5" s="6">
        <v>45729</v>
      </c>
      <c r="B5" t="s">
        <v>2</v>
      </c>
      <c r="C5" t="s">
        <v>9</v>
      </c>
      <c r="D5" t="s">
        <v>20</v>
      </c>
      <c r="E5">
        <v>12</v>
      </c>
      <c r="F5">
        <v>51</v>
      </c>
      <c r="G5" s="5">
        <f t="shared" si="0"/>
        <v>612</v>
      </c>
      <c r="J5" s="5"/>
    </row>
    <row r="6" spans="1:10">
      <c r="A6" s="6">
        <v>45718</v>
      </c>
      <c r="B6" t="s">
        <v>4</v>
      </c>
      <c r="C6" t="s">
        <v>11</v>
      </c>
      <c r="D6" t="s">
        <v>19</v>
      </c>
      <c r="E6">
        <v>17</v>
      </c>
      <c r="F6">
        <v>70</v>
      </c>
      <c r="G6" s="5">
        <f t="shared" si="0"/>
        <v>1190</v>
      </c>
      <c r="J6" s="5"/>
    </row>
    <row r="7" spans="1:7">
      <c r="A7" s="6">
        <v>45678</v>
      </c>
      <c r="B7" t="s">
        <v>3</v>
      </c>
      <c r="C7" t="s">
        <v>8</v>
      </c>
      <c r="D7" t="s">
        <v>19</v>
      </c>
      <c r="E7">
        <v>6</v>
      </c>
      <c r="F7">
        <v>31</v>
      </c>
      <c r="G7" s="5">
        <f t="shared" si="0"/>
        <v>186</v>
      </c>
    </row>
    <row r="8" spans="1:7">
      <c r="A8" s="6">
        <v>45740</v>
      </c>
      <c r="B8" t="s">
        <v>5</v>
      </c>
      <c r="C8" t="s">
        <v>11</v>
      </c>
      <c r="D8" t="s">
        <v>20</v>
      </c>
      <c r="E8">
        <v>7</v>
      </c>
      <c r="F8">
        <v>30</v>
      </c>
      <c r="G8" s="5">
        <f t="shared" si="0"/>
        <v>210</v>
      </c>
    </row>
    <row r="9" spans="1:7">
      <c r="A9" s="6">
        <v>45744</v>
      </c>
      <c r="B9" t="s">
        <v>5</v>
      </c>
      <c r="C9" t="s">
        <v>9</v>
      </c>
      <c r="D9" t="s">
        <v>22</v>
      </c>
      <c r="E9">
        <v>14</v>
      </c>
      <c r="F9">
        <v>79</v>
      </c>
      <c r="G9" s="5">
        <f t="shared" si="0"/>
        <v>1106</v>
      </c>
    </row>
    <row r="10" spans="1:7">
      <c r="A10" s="6">
        <v>45732</v>
      </c>
      <c r="B10" t="s">
        <v>4</v>
      </c>
      <c r="C10" t="s">
        <v>9</v>
      </c>
      <c r="D10" t="s">
        <v>19</v>
      </c>
      <c r="E10">
        <v>13</v>
      </c>
      <c r="F10">
        <v>10</v>
      </c>
      <c r="G10" s="5">
        <f t="shared" si="0"/>
        <v>130</v>
      </c>
    </row>
    <row r="11" spans="1:7">
      <c r="A11" s="6">
        <v>45732</v>
      </c>
      <c r="B11" t="s">
        <v>4</v>
      </c>
      <c r="C11" t="s">
        <v>11</v>
      </c>
      <c r="D11" t="s">
        <v>21</v>
      </c>
      <c r="E11">
        <v>8</v>
      </c>
      <c r="F11">
        <v>14</v>
      </c>
      <c r="G11" s="5">
        <f t="shared" si="0"/>
        <v>112</v>
      </c>
    </row>
    <row r="12" spans="1:7">
      <c r="A12" s="6">
        <v>45745</v>
      </c>
      <c r="B12" t="s">
        <v>3</v>
      </c>
      <c r="C12" t="s">
        <v>9</v>
      </c>
      <c r="D12" t="s">
        <v>19</v>
      </c>
      <c r="E12">
        <v>10</v>
      </c>
      <c r="F12">
        <v>21</v>
      </c>
      <c r="G12" s="5">
        <f t="shared" si="0"/>
        <v>210</v>
      </c>
    </row>
    <row r="13" spans="1:7">
      <c r="A13" s="6">
        <v>45757</v>
      </c>
      <c r="B13" t="s">
        <v>5</v>
      </c>
      <c r="C13" t="s">
        <v>11</v>
      </c>
      <c r="D13" t="s">
        <v>20</v>
      </c>
      <c r="E13">
        <v>9</v>
      </c>
      <c r="F13">
        <v>99</v>
      </c>
      <c r="G13" s="5">
        <f t="shared" si="0"/>
        <v>891</v>
      </c>
    </row>
    <row r="14" spans="1:7">
      <c r="A14" s="6">
        <v>45681</v>
      </c>
      <c r="B14" t="s">
        <v>5</v>
      </c>
      <c r="C14" t="s">
        <v>8</v>
      </c>
      <c r="D14" t="s">
        <v>20</v>
      </c>
      <c r="E14">
        <v>18</v>
      </c>
      <c r="F14">
        <v>55</v>
      </c>
      <c r="G14" s="5">
        <f t="shared" si="0"/>
        <v>990</v>
      </c>
    </row>
    <row r="15" spans="1:7">
      <c r="A15" s="6">
        <v>45660</v>
      </c>
      <c r="B15" t="s">
        <v>5</v>
      </c>
      <c r="C15" t="s">
        <v>11</v>
      </c>
      <c r="D15" t="s">
        <v>20</v>
      </c>
      <c r="E15">
        <v>2</v>
      </c>
      <c r="F15">
        <v>43</v>
      </c>
      <c r="G15" s="5">
        <f t="shared" si="0"/>
        <v>86</v>
      </c>
    </row>
    <row r="16" spans="1:7">
      <c r="A16" s="6">
        <v>45679</v>
      </c>
      <c r="B16" t="s">
        <v>2</v>
      </c>
      <c r="C16" t="s">
        <v>8</v>
      </c>
      <c r="D16" t="s">
        <v>22</v>
      </c>
      <c r="E16">
        <v>5</v>
      </c>
      <c r="F16">
        <v>58</v>
      </c>
      <c r="G16" s="5">
        <f t="shared" si="0"/>
        <v>290</v>
      </c>
    </row>
    <row r="17" spans="1:7">
      <c r="A17" s="6">
        <v>45710</v>
      </c>
      <c r="B17" t="s">
        <v>5</v>
      </c>
      <c r="C17" t="s">
        <v>11</v>
      </c>
      <c r="D17" t="s">
        <v>19</v>
      </c>
      <c r="E17">
        <v>5</v>
      </c>
      <c r="F17">
        <v>87</v>
      </c>
      <c r="G17" s="5">
        <f t="shared" si="0"/>
        <v>435</v>
      </c>
    </row>
    <row r="18" spans="1:7">
      <c r="A18" s="6">
        <v>45659</v>
      </c>
      <c r="B18" t="s">
        <v>2</v>
      </c>
      <c r="C18" t="s">
        <v>9</v>
      </c>
      <c r="D18" t="s">
        <v>22</v>
      </c>
      <c r="E18">
        <v>6</v>
      </c>
      <c r="F18">
        <v>99</v>
      </c>
      <c r="G18" s="5">
        <f t="shared" si="0"/>
        <v>594</v>
      </c>
    </row>
    <row r="19" spans="1:7">
      <c r="A19" s="6">
        <v>45745</v>
      </c>
      <c r="B19" t="s">
        <v>3</v>
      </c>
      <c r="C19" t="s">
        <v>11</v>
      </c>
      <c r="D19" t="s">
        <v>22</v>
      </c>
      <c r="E19">
        <v>19</v>
      </c>
      <c r="F19">
        <v>54</v>
      </c>
      <c r="G19" s="5">
        <f t="shared" si="0"/>
        <v>1026</v>
      </c>
    </row>
    <row r="20" spans="1:7">
      <c r="A20" s="6">
        <v>45687</v>
      </c>
      <c r="B20" t="s">
        <v>2</v>
      </c>
      <c r="C20" t="s">
        <v>9</v>
      </c>
      <c r="D20" t="s">
        <v>20</v>
      </c>
      <c r="E20">
        <v>8</v>
      </c>
      <c r="F20">
        <v>36</v>
      </c>
      <c r="G20" s="5">
        <f t="shared" si="0"/>
        <v>288</v>
      </c>
    </row>
    <row r="21" spans="1:7">
      <c r="A21" s="6">
        <v>45695</v>
      </c>
      <c r="B21" t="s">
        <v>3</v>
      </c>
      <c r="C21" t="s">
        <v>11</v>
      </c>
      <c r="D21" t="s">
        <v>20</v>
      </c>
      <c r="E21">
        <v>16</v>
      </c>
      <c r="F21">
        <v>82</v>
      </c>
      <c r="G21" s="5">
        <f t="shared" si="0"/>
        <v>1312</v>
      </c>
    </row>
    <row r="22" spans="1:7">
      <c r="A22" s="6">
        <v>45659</v>
      </c>
      <c r="B22" t="s">
        <v>5</v>
      </c>
      <c r="C22" t="s">
        <v>11</v>
      </c>
      <c r="D22" t="s">
        <v>22</v>
      </c>
      <c r="E22">
        <v>13</v>
      </c>
      <c r="F22">
        <v>35</v>
      </c>
      <c r="G22" s="5">
        <f t="shared" si="0"/>
        <v>455</v>
      </c>
    </row>
    <row r="23" spans="1:7">
      <c r="A23" s="6">
        <v>45721</v>
      </c>
      <c r="B23" t="s">
        <v>5</v>
      </c>
      <c r="C23" t="s">
        <v>10</v>
      </c>
      <c r="D23" t="s">
        <v>19</v>
      </c>
      <c r="E23">
        <v>1</v>
      </c>
      <c r="F23">
        <v>56</v>
      </c>
      <c r="G23" s="5">
        <f t="shared" si="0"/>
        <v>56</v>
      </c>
    </row>
    <row r="24" spans="1:7">
      <c r="A24" s="6">
        <v>45717</v>
      </c>
      <c r="B24" t="s">
        <v>3</v>
      </c>
      <c r="C24" t="s">
        <v>9</v>
      </c>
      <c r="D24" t="s">
        <v>21</v>
      </c>
      <c r="E24">
        <v>17</v>
      </c>
      <c r="F24">
        <v>95</v>
      </c>
      <c r="G24" s="5">
        <f t="shared" si="0"/>
        <v>1615</v>
      </c>
    </row>
    <row r="25" spans="1:7">
      <c r="A25" s="6">
        <v>45678</v>
      </c>
      <c r="B25" t="s">
        <v>4</v>
      </c>
      <c r="C25" t="s">
        <v>10</v>
      </c>
      <c r="D25" t="s">
        <v>22</v>
      </c>
      <c r="E25">
        <v>7</v>
      </c>
      <c r="F25">
        <v>65</v>
      </c>
      <c r="G25" s="5">
        <f t="shared" si="0"/>
        <v>455</v>
      </c>
    </row>
    <row r="26" spans="1:7">
      <c r="A26" s="6">
        <v>45690</v>
      </c>
      <c r="B26" t="s">
        <v>3</v>
      </c>
      <c r="C26" t="s">
        <v>9</v>
      </c>
      <c r="D26" t="s">
        <v>19</v>
      </c>
      <c r="E26">
        <v>13</v>
      </c>
      <c r="F26">
        <v>72</v>
      </c>
      <c r="G26" s="5">
        <f t="shared" si="0"/>
        <v>936</v>
      </c>
    </row>
    <row r="27" spans="1:7">
      <c r="A27" s="6">
        <v>45733</v>
      </c>
      <c r="B27" t="s">
        <v>4</v>
      </c>
      <c r="C27" t="s">
        <v>10</v>
      </c>
      <c r="D27" t="s">
        <v>20</v>
      </c>
      <c r="E27">
        <v>4</v>
      </c>
      <c r="F27">
        <v>57</v>
      </c>
      <c r="G27" s="5">
        <f t="shared" si="0"/>
        <v>228</v>
      </c>
    </row>
    <row r="28" spans="1:7">
      <c r="A28" s="6">
        <v>45715</v>
      </c>
      <c r="B28" t="s">
        <v>2</v>
      </c>
      <c r="C28" t="s">
        <v>8</v>
      </c>
      <c r="D28" t="s">
        <v>20</v>
      </c>
      <c r="E28">
        <v>4</v>
      </c>
      <c r="F28">
        <v>70</v>
      </c>
      <c r="G28" s="5">
        <f t="shared" si="0"/>
        <v>280</v>
      </c>
    </row>
    <row r="29" spans="1:7">
      <c r="A29" s="6">
        <v>45679</v>
      </c>
      <c r="B29" t="s">
        <v>2</v>
      </c>
      <c r="C29" t="s">
        <v>11</v>
      </c>
      <c r="D29" t="s">
        <v>19</v>
      </c>
      <c r="E29">
        <v>6</v>
      </c>
      <c r="F29">
        <v>90</v>
      </c>
      <c r="G29" s="5">
        <f t="shared" si="0"/>
        <v>540</v>
      </c>
    </row>
    <row r="30" spans="1:7">
      <c r="A30" s="6">
        <v>45746</v>
      </c>
      <c r="B30" t="s">
        <v>2</v>
      </c>
      <c r="C30" t="s">
        <v>9</v>
      </c>
      <c r="D30" t="s">
        <v>21</v>
      </c>
      <c r="E30">
        <v>19</v>
      </c>
      <c r="F30">
        <v>35</v>
      </c>
      <c r="G30" s="5">
        <f t="shared" si="0"/>
        <v>665</v>
      </c>
    </row>
    <row r="31" spans="1:7">
      <c r="A31" s="6">
        <v>45706</v>
      </c>
      <c r="B31" t="s">
        <v>5</v>
      </c>
      <c r="C31" t="s">
        <v>9</v>
      </c>
      <c r="D31" t="s">
        <v>20</v>
      </c>
      <c r="E31">
        <v>12</v>
      </c>
      <c r="F31">
        <v>45</v>
      </c>
      <c r="G31" s="5">
        <f t="shared" si="0"/>
        <v>540</v>
      </c>
    </row>
    <row r="32" spans="1:7">
      <c r="A32" s="6">
        <v>45748</v>
      </c>
      <c r="B32" t="s">
        <v>2</v>
      </c>
      <c r="C32" t="s">
        <v>11</v>
      </c>
      <c r="D32" t="s">
        <v>20</v>
      </c>
      <c r="E32">
        <v>7</v>
      </c>
      <c r="F32">
        <v>10</v>
      </c>
      <c r="G32" s="5">
        <f t="shared" si="0"/>
        <v>70</v>
      </c>
    </row>
    <row r="33" spans="1:7">
      <c r="A33" s="6">
        <v>45716</v>
      </c>
      <c r="B33" t="s">
        <v>4</v>
      </c>
      <c r="C33" t="s">
        <v>9</v>
      </c>
      <c r="D33" t="s">
        <v>20</v>
      </c>
      <c r="E33">
        <v>10</v>
      </c>
      <c r="F33">
        <v>17</v>
      </c>
      <c r="G33" s="5">
        <f t="shared" si="0"/>
        <v>170</v>
      </c>
    </row>
    <row r="34" spans="1:7">
      <c r="A34" s="6">
        <v>45699</v>
      </c>
      <c r="B34" t="s">
        <v>2</v>
      </c>
      <c r="C34" t="s">
        <v>9</v>
      </c>
      <c r="D34" t="s">
        <v>19</v>
      </c>
      <c r="E34">
        <v>19</v>
      </c>
      <c r="F34">
        <v>61</v>
      </c>
      <c r="G34" s="5">
        <f t="shared" si="0"/>
        <v>1159</v>
      </c>
    </row>
    <row r="35" spans="1:7">
      <c r="A35" s="6">
        <v>45749</v>
      </c>
      <c r="B35" t="s">
        <v>3</v>
      </c>
      <c r="C35" t="s">
        <v>10</v>
      </c>
      <c r="D35" t="s">
        <v>22</v>
      </c>
      <c r="E35">
        <v>7</v>
      </c>
      <c r="F35">
        <v>88</v>
      </c>
      <c r="G35" s="5">
        <f t="shared" si="0"/>
        <v>616</v>
      </c>
    </row>
    <row r="36" spans="1:7">
      <c r="A36" s="6">
        <v>45717</v>
      </c>
      <c r="B36" t="s">
        <v>3</v>
      </c>
      <c r="C36" t="s">
        <v>9</v>
      </c>
      <c r="D36" t="s">
        <v>20</v>
      </c>
      <c r="E36">
        <v>3</v>
      </c>
      <c r="F36">
        <v>56</v>
      </c>
      <c r="G36" s="5">
        <f t="shared" si="0"/>
        <v>168</v>
      </c>
    </row>
    <row r="37" spans="1:7">
      <c r="A37" s="6">
        <v>45737</v>
      </c>
      <c r="B37" t="s">
        <v>5</v>
      </c>
      <c r="C37" t="s">
        <v>8</v>
      </c>
      <c r="D37" t="s">
        <v>22</v>
      </c>
      <c r="E37">
        <v>13</v>
      </c>
      <c r="F37">
        <v>65</v>
      </c>
      <c r="G37" s="5">
        <f t="shared" si="0"/>
        <v>845</v>
      </c>
    </row>
    <row r="38" spans="1:7">
      <c r="A38" s="6">
        <v>45672</v>
      </c>
      <c r="B38" t="s">
        <v>3</v>
      </c>
      <c r="C38" t="s">
        <v>8</v>
      </c>
      <c r="D38" t="s">
        <v>21</v>
      </c>
      <c r="E38">
        <v>13</v>
      </c>
      <c r="F38">
        <v>95</v>
      </c>
      <c r="G38">
        <f t="shared" ref="G38:G51" si="1">E38*F38</f>
        <v>1235</v>
      </c>
    </row>
    <row r="39" spans="1:7">
      <c r="A39" s="6">
        <v>45719</v>
      </c>
      <c r="B39" t="s">
        <v>4</v>
      </c>
      <c r="C39" t="s">
        <v>11</v>
      </c>
      <c r="D39" t="s">
        <v>20</v>
      </c>
      <c r="E39">
        <v>18</v>
      </c>
      <c r="F39">
        <v>23</v>
      </c>
      <c r="G39">
        <f t="shared" si="1"/>
        <v>414</v>
      </c>
    </row>
    <row r="40" spans="1:7">
      <c r="A40" s="6">
        <v>45719</v>
      </c>
      <c r="B40" t="s">
        <v>2</v>
      </c>
      <c r="C40" t="s">
        <v>9</v>
      </c>
      <c r="D40" t="s">
        <v>20</v>
      </c>
      <c r="E40">
        <v>8</v>
      </c>
      <c r="F40">
        <v>99</v>
      </c>
      <c r="G40">
        <f t="shared" si="1"/>
        <v>792</v>
      </c>
    </row>
    <row r="41" spans="1:7">
      <c r="A41" s="6">
        <v>45704</v>
      </c>
      <c r="B41" t="s">
        <v>5</v>
      </c>
      <c r="C41" t="s">
        <v>11</v>
      </c>
      <c r="D41" t="s">
        <v>21</v>
      </c>
      <c r="E41">
        <v>9</v>
      </c>
      <c r="F41">
        <v>37</v>
      </c>
      <c r="G41">
        <f t="shared" si="1"/>
        <v>333</v>
      </c>
    </row>
    <row r="42" spans="1:7">
      <c r="A42" s="6">
        <v>45719</v>
      </c>
      <c r="B42" t="s">
        <v>2</v>
      </c>
      <c r="C42" t="s">
        <v>8</v>
      </c>
      <c r="D42" t="s">
        <v>20</v>
      </c>
      <c r="E42">
        <v>7</v>
      </c>
      <c r="F42">
        <v>96</v>
      </c>
      <c r="G42">
        <f t="shared" si="1"/>
        <v>672</v>
      </c>
    </row>
    <row r="43" spans="1:7">
      <c r="A43" s="6">
        <v>45708</v>
      </c>
      <c r="B43" t="s">
        <v>2</v>
      </c>
      <c r="C43" t="s">
        <v>9</v>
      </c>
      <c r="D43" t="s">
        <v>22</v>
      </c>
      <c r="E43">
        <v>1</v>
      </c>
      <c r="F43">
        <v>87</v>
      </c>
      <c r="G43">
        <f t="shared" si="1"/>
        <v>87</v>
      </c>
    </row>
    <row r="44" spans="1:7">
      <c r="A44" s="6">
        <v>45712</v>
      </c>
      <c r="B44" t="s">
        <v>4</v>
      </c>
      <c r="C44" t="s">
        <v>9</v>
      </c>
      <c r="D44" t="s">
        <v>19</v>
      </c>
      <c r="E44">
        <v>3</v>
      </c>
      <c r="F44">
        <v>97</v>
      </c>
      <c r="G44">
        <f t="shared" si="1"/>
        <v>291</v>
      </c>
    </row>
    <row r="45" spans="1:7">
      <c r="A45" s="6">
        <v>45721</v>
      </c>
      <c r="B45" t="s">
        <v>3</v>
      </c>
      <c r="C45" t="s">
        <v>11</v>
      </c>
      <c r="D45" t="s">
        <v>22</v>
      </c>
      <c r="E45">
        <v>13</v>
      </c>
      <c r="F45">
        <v>11</v>
      </c>
      <c r="G45">
        <f t="shared" si="1"/>
        <v>143</v>
      </c>
    </row>
    <row r="46" spans="1:7">
      <c r="A46" s="6">
        <v>45660</v>
      </c>
      <c r="B46" t="s">
        <v>3</v>
      </c>
      <c r="C46" t="s">
        <v>8</v>
      </c>
      <c r="D46" t="s">
        <v>19</v>
      </c>
      <c r="E46">
        <v>17</v>
      </c>
      <c r="F46">
        <v>35</v>
      </c>
      <c r="G46">
        <f t="shared" si="1"/>
        <v>595</v>
      </c>
    </row>
    <row r="47" spans="1:7">
      <c r="A47" s="6">
        <v>45708</v>
      </c>
      <c r="B47" t="s">
        <v>2</v>
      </c>
      <c r="C47" t="s">
        <v>9</v>
      </c>
      <c r="D47" t="s">
        <v>19</v>
      </c>
      <c r="E47">
        <v>1</v>
      </c>
      <c r="F47">
        <v>23</v>
      </c>
      <c r="G47">
        <f t="shared" si="1"/>
        <v>23</v>
      </c>
    </row>
    <row r="48" spans="1:7">
      <c r="A48" s="6">
        <v>45664</v>
      </c>
      <c r="B48" t="s">
        <v>5</v>
      </c>
      <c r="C48" t="s">
        <v>11</v>
      </c>
      <c r="D48" t="s">
        <v>22</v>
      </c>
      <c r="E48">
        <v>6</v>
      </c>
      <c r="F48">
        <v>68</v>
      </c>
      <c r="G48">
        <f t="shared" si="1"/>
        <v>408</v>
      </c>
    </row>
    <row r="49" spans="1:7">
      <c r="A49" s="6">
        <v>45678</v>
      </c>
      <c r="B49" t="s">
        <v>3</v>
      </c>
      <c r="C49" t="s">
        <v>8</v>
      </c>
      <c r="D49" t="s">
        <v>22</v>
      </c>
      <c r="E49">
        <v>6</v>
      </c>
      <c r="F49">
        <v>65</v>
      </c>
      <c r="G49">
        <f t="shared" si="1"/>
        <v>390</v>
      </c>
    </row>
    <row r="50" spans="1:7">
      <c r="A50" s="6">
        <v>45730</v>
      </c>
      <c r="B50" t="s">
        <v>5</v>
      </c>
      <c r="C50" t="s">
        <v>11</v>
      </c>
      <c r="D50" t="s">
        <v>22</v>
      </c>
      <c r="E50">
        <v>12</v>
      </c>
      <c r="F50">
        <v>16</v>
      </c>
      <c r="G50">
        <f t="shared" si="1"/>
        <v>192</v>
      </c>
    </row>
    <row r="51" spans="1:7">
      <c r="A51" s="6">
        <v>45696</v>
      </c>
      <c r="B51" t="s">
        <v>3</v>
      </c>
      <c r="C51" t="s">
        <v>10</v>
      </c>
      <c r="D51" t="s">
        <v>22</v>
      </c>
      <c r="E51">
        <v>13</v>
      </c>
      <c r="F51">
        <v>12</v>
      </c>
      <c r="G51">
        <f t="shared" si="1"/>
        <v>156</v>
      </c>
    </row>
    <row r="52" spans="1:7">
      <c r="A52" s="6">
        <v>45675</v>
      </c>
      <c r="B52" t="s">
        <v>5</v>
      </c>
      <c r="C52" t="s">
        <v>9</v>
      </c>
      <c r="D52" t="s">
        <v>21</v>
      </c>
      <c r="E52">
        <v>13</v>
      </c>
      <c r="F52">
        <v>32</v>
      </c>
      <c r="G52" s="5">
        <f t="shared" ref="G52:G83" si="2">E52*F52</f>
        <v>416</v>
      </c>
    </row>
    <row r="53" spans="1:7">
      <c r="A53" s="6">
        <v>45661</v>
      </c>
      <c r="B53" t="s">
        <v>4</v>
      </c>
      <c r="C53" t="s">
        <v>10</v>
      </c>
      <c r="D53" t="s">
        <v>20</v>
      </c>
      <c r="E53">
        <v>15</v>
      </c>
      <c r="F53">
        <v>27</v>
      </c>
      <c r="G53">
        <f t="shared" si="2"/>
        <v>405</v>
      </c>
    </row>
    <row r="54" spans="1:7">
      <c r="A54" s="6">
        <v>45746</v>
      </c>
      <c r="B54" t="s">
        <v>5</v>
      </c>
      <c r="C54" t="s">
        <v>8</v>
      </c>
      <c r="D54" t="s">
        <v>19</v>
      </c>
      <c r="E54">
        <v>16</v>
      </c>
      <c r="F54">
        <v>47</v>
      </c>
      <c r="G54">
        <f t="shared" si="2"/>
        <v>752</v>
      </c>
    </row>
    <row r="55" spans="1:7">
      <c r="A55" s="6">
        <v>45717</v>
      </c>
      <c r="B55" t="s">
        <v>4</v>
      </c>
      <c r="C55" t="s">
        <v>10</v>
      </c>
      <c r="D55" t="s">
        <v>22</v>
      </c>
      <c r="E55">
        <v>11</v>
      </c>
      <c r="F55">
        <v>24</v>
      </c>
      <c r="G55">
        <f t="shared" si="2"/>
        <v>264</v>
      </c>
    </row>
    <row r="56" spans="1:7">
      <c r="A56" s="6">
        <v>45671</v>
      </c>
      <c r="B56" t="s">
        <v>4</v>
      </c>
      <c r="C56" t="s">
        <v>10</v>
      </c>
      <c r="D56" t="s">
        <v>22</v>
      </c>
      <c r="E56">
        <v>5</v>
      </c>
      <c r="F56">
        <v>73</v>
      </c>
      <c r="G56">
        <f t="shared" si="2"/>
        <v>365</v>
      </c>
    </row>
    <row r="57" spans="1:7">
      <c r="A57" s="6">
        <v>45666</v>
      </c>
      <c r="B57" t="s">
        <v>5</v>
      </c>
      <c r="C57" t="s">
        <v>8</v>
      </c>
      <c r="D57" t="s">
        <v>22</v>
      </c>
      <c r="E57">
        <v>4</v>
      </c>
      <c r="F57">
        <v>98</v>
      </c>
      <c r="G57">
        <f t="shared" si="2"/>
        <v>392</v>
      </c>
    </row>
    <row r="58" spans="1:7">
      <c r="A58" s="6">
        <v>45747</v>
      </c>
      <c r="B58" t="s">
        <v>4</v>
      </c>
      <c r="C58" t="s">
        <v>11</v>
      </c>
      <c r="D58" t="s">
        <v>21</v>
      </c>
      <c r="E58">
        <v>3</v>
      </c>
      <c r="F58">
        <v>37</v>
      </c>
      <c r="G58">
        <f t="shared" si="2"/>
        <v>111</v>
      </c>
    </row>
    <row r="59" spans="1:7">
      <c r="A59" s="6">
        <v>45710</v>
      </c>
      <c r="B59" t="s">
        <v>2</v>
      </c>
      <c r="C59" t="s">
        <v>10</v>
      </c>
      <c r="D59" t="s">
        <v>22</v>
      </c>
      <c r="E59">
        <v>19</v>
      </c>
      <c r="F59">
        <v>83</v>
      </c>
      <c r="G59">
        <f t="shared" si="2"/>
        <v>1577</v>
      </c>
    </row>
    <row r="60" spans="1:7">
      <c r="A60" s="6">
        <v>45659</v>
      </c>
      <c r="B60" t="s">
        <v>4</v>
      </c>
      <c r="C60" t="s">
        <v>11</v>
      </c>
      <c r="D60" t="s">
        <v>22</v>
      </c>
      <c r="E60">
        <v>18</v>
      </c>
      <c r="F60">
        <v>48</v>
      </c>
      <c r="G60">
        <f t="shared" si="2"/>
        <v>864</v>
      </c>
    </row>
    <row r="61" spans="1:7">
      <c r="A61" s="6">
        <v>45741</v>
      </c>
      <c r="B61" t="s">
        <v>3</v>
      </c>
      <c r="C61" t="s">
        <v>10</v>
      </c>
      <c r="D61" t="s">
        <v>22</v>
      </c>
      <c r="E61">
        <v>15</v>
      </c>
      <c r="F61">
        <v>66</v>
      </c>
      <c r="G61">
        <f t="shared" si="2"/>
        <v>990</v>
      </c>
    </row>
    <row r="62" spans="1:7">
      <c r="A62" s="6">
        <v>45749</v>
      </c>
      <c r="B62" t="s">
        <v>5</v>
      </c>
      <c r="C62" t="s">
        <v>11</v>
      </c>
      <c r="D62" t="s">
        <v>20</v>
      </c>
      <c r="E62">
        <v>9</v>
      </c>
      <c r="F62">
        <v>26</v>
      </c>
      <c r="G62">
        <f t="shared" si="2"/>
        <v>234</v>
      </c>
    </row>
    <row r="63" spans="1:7">
      <c r="A63" s="6">
        <v>45717</v>
      </c>
      <c r="B63" t="s">
        <v>2</v>
      </c>
      <c r="C63" t="s">
        <v>8</v>
      </c>
      <c r="D63" t="s">
        <v>21</v>
      </c>
      <c r="E63">
        <v>17</v>
      </c>
      <c r="F63">
        <v>95</v>
      </c>
      <c r="G63">
        <f t="shared" si="2"/>
        <v>1615</v>
      </c>
    </row>
    <row r="64" spans="1:7">
      <c r="A64" s="6">
        <v>45728</v>
      </c>
      <c r="B64" t="s">
        <v>5</v>
      </c>
      <c r="C64" t="s">
        <v>10</v>
      </c>
      <c r="D64" t="s">
        <v>22</v>
      </c>
      <c r="E64">
        <v>14</v>
      </c>
      <c r="F64">
        <v>99</v>
      </c>
      <c r="G64">
        <f t="shared" si="2"/>
        <v>1386</v>
      </c>
    </row>
    <row r="65" spans="1:7">
      <c r="A65" s="6">
        <v>45701</v>
      </c>
      <c r="B65" t="s">
        <v>3</v>
      </c>
      <c r="C65" t="s">
        <v>8</v>
      </c>
      <c r="D65" t="s">
        <v>19</v>
      </c>
      <c r="E65">
        <v>15</v>
      </c>
      <c r="F65">
        <v>53</v>
      </c>
      <c r="G65">
        <f t="shared" si="2"/>
        <v>795</v>
      </c>
    </row>
    <row r="66" spans="1:7">
      <c r="A66" s="6">
        <v>45665</v>
      </c>
      <c r="B66" t="s">
        <v>3</v>
      </c>
      <c r="C66" t="s">
        <v>10</v>
      </c>
      <c r="D66" t="s">
        <v>19</v>
      </c>
      <c r="E66">
        <v>1</v>
      </c>
      <c r="F66">
        <v>34</v>
      </c>
      <c r="G66">
        <f t="shared" si="2"/>
        <v>34</v>
      </c>
    </row>
    <row r="67" spans="1:7">
      <c r="A67" s="6">
        <v>45704</v>
      </c>
      <c r="B67" t="s">
        <v>3</v>
      </c>
      <c r="C67" t="s">
        <v>8</v>
      </c>
      <c r="D67" t="s">
        <v>19</v>
      </c>
      <c r="E67">
        <v>3</v>
      </c>
      <c r="F67">
        <v>26</v>
      </c>
      <c r="G67" s="5">
        <f t="shared" si="2"/>
        <v>78</v>
      </c>
    </row>
    <row r="68" spans="1:7">
      <c r="A68" s="6">
        <v>45692</v>
      </c>
      <c r="B68" t="s">
        <v>4</v>
      </c>
      <c r="C68" t="s">
        <v>8</v>
      </c>
      <c r="D68" t="s">
        <v>21</v>
      </c>
      <c r="E68">
        <v>16</v>
      </c>
      <c r="F68">
        <v>22</v>
      </c>
      <c r="G68">
        <f t="shared" si="2"/>
        <v>352</v>
      </c>
    </row>
    <row r="69" spans="1:7">
      <c r="A69" s="6">
        <v>45735</v>
      </c>
      <c r="B69" t="s">
        <v>4</v>
      </c>
      <c r="C69" t="s">
        <v>10</v>
      </c>
      <c r="D69" t="s">
        <v>21</v>
      </c>
      <c r="E69">
        <v>11</v>
      </c>
      <c r="F69">
        <v>93</v>
      </c>
      <c r="G69">
        <f t="shared" si="2"/>
        <v>1023</v>
      </c>
    </row>
    <row r="70" spans="1:7">
      <c r="A70" s="6">
        <v>45738</v>
      </c>
      <c r="B70" t="s">
        <v>5</v>
      </c>
      <c r="C70" t="s">
        <v>10</v>
      </c>
      <c r="D70" t="s">
        <v>19</v>
      </c>
      <c r="E70">
        <v>12</v>
      </c>
      <c r="F70">
        <v>34</v>
      </c>
      <c r="G70">
        <f t="shared" si="2"/>
        <v>408</v>
      </c>
    </row>
    <row r="71" spans="1:7">
      <c r="A71" s="6">
        <v>45693</v>
      </c>
      <c r="B71" t="s">
        <v>5</v>
      </c>
      <c r="C71" t="s">
        <v>10</v>
      </c>
      <c r="D71" t="s">
        <v>22</v>
      </c>
      <c r="E71">
        <v>10</v>
      </c>
      <c r="F71">
        <v>77</v>
      </c>
      <c r="G71">
        <f t="shared" si="2"/>
        <v>770</v>
      </c>
    </row>
    <row r="72" spans="1:7">
      <c r="A72" s="6">
        <v>45707</v>
      </c>
      <c r="B72" t="s">
        <v>2</v>
      </c>
      <c r="C72" t="s">
        <v>9</v>
      </c>
      <c r="D72" t="s">
        <v>21</v>
      </c>
      <c r="E72">
        <v>16</v>
      </c>
      <c r="F72">
        <v>19</v>
      </c>
      <c r="G72">
        <f t="shared" si="2"/>
        <v>304</v>
      </c>
    </row>
    <row r="73" spans="1:7">
      <c r="A73" s="6">
        <v>45661</v>
      </c>
      <c r="B73" t="s">
        <v>2</v>
      </c>
      <c r="C73" t="s">
        <v>11</v>
      </c>
      <c r="D73" t="s">
        <v>19</v>
      </c>
      <c r="E73">
        <v>8</v>
      </c>
      <c r="F73">
        <v>76</v>
      </c>
      <c r="G73">
        <f t="shared" si="2"/>
        <v>608</v>
      </c>
    </row>
    <row r="74" spans="1:7">
      <c r="A74" s="6">
        <v>45659</v>
      </c>
      <c r="B74" t="s">
        <v>5</v>
      </c>
      <c r="C74" t="s">
        <v>9</v>
      </c>
      <c r="D74" t="s">
        <v>19</v>
      </c>
      <c r="E74">
        <v>6</v>
      </c>
      <c r="F74">
        <v>27</v>
      </c>
      <c r="G74">
        <f t="shared" si="2"/>
        <v>162</v>
      </c>
    </row>
    <row r="75" spans="1:7">
      <c r="A75" s="6">
        <v>45663</v>
      </c>
      <c r="B75" t="s">
        <v>4</v>
      </c>
      <c r="C75" t="s">
        <v>9</v>
      </c>
      <c r="D75" t="s">
        <v>22</v>
      </c>
      <c r="E75">
        <v>12</v>
      </c>
      <c r="F75">
        <v>95</v>
      </c>
      <c r="G75">
        <f t="shared" si="2"/>
        <v>1140</v>
      </c>
    </row>
    <row r="76" spans="1:7">
      <c r="A76" s="6">
        <v>45711</v>
      </c>
      <c r="B76" t="s">
        <v>3</v>
      </c>
      <c r="C76" t="s">
        <v>8</v>
      </c>
      <c r="D76" t="s">
        <v>20</v>
      </c>
      <c r="E76">
        <v>8</v>
      </c>
      <c r="F76">
        <v>43</v>
      </c>
      <c r="G76">
        <f t="shared" si="2"/>
        <v>344</v>
      </c>
    </row>
    <row r="77" spans="1:7">
      <c r="A77" s="6">
        <v>45661</v>
      </c>
      <c r="B77" t="s">
        <v>5</v>
      </c>
      <c r="C77" t="s">
        <v>10</v>
      </c>
      <c r="D77" t="s">
        <v>21</v>
      </c>
      <c r="E77">
        <v>4</v>
      </c>
      <c r="F77">
        <v>17</v>
      </c>
      <c r="G77">
        <f t="shared" si="2"/>
        <v>68</v>
      </c>
    </row>
    <row r="78" spans="1:7">
      <c r="A78" s="6">
        <v>45711</v>
      </c>
      <c r="B78" t="s">
        <v>2</v>
      </c>
      <c r="C78" t="s">
        <v>11</v>
      </c>
      <c r="D78" t="s">
        <v>22</v>
      </c>
      <c r="E78">
        <v>8</v>
      </c>
      <c r="F78">
        <v>49</v>
      </c>
      <c r="G78">
        <f t="shared" si="2"/>
        <v>392</v>
      </c>
    </row>
    <row r="79" spans="1:7">
      <c r="A79" s="6">
        <v>45750</v>
      </c>
      <c r="B79" t="s">
        <v>4</v>
      </c>
      <c r="C79" t="s">
        <v>8</v>
      </c>
      <c r="D79" t="s">
        <v>19</v>
      </c>
      <c r="E79">
        <v>18</v>
      </c>
      <c r="F79">
        <v>92</v>
      </c>
      <c r="G79">
        <f t="shared" si="2"/>
        <v>1656</v>
      </c>
    </row>
    <row r="80" spans="1:7">
      <c r="A80" s="6">
        <v>45720</v>
      </c>
      <c r="B80" t="s">
        <v>5</v>
      </c>
      <c r="C80" t="s">
        <v>9</v>
      </c>
      <c r="D80" t="s">
        <v>19</v>
      </c>
      <c r="E80">
        <v>5</v>
      </c>
      <c r="F80">
        <v>51</v>
      </c>
      <c r="G80">
        <f t="shared" si="2"/>
        <v>255</v>
      </c>
    </row>
    <row r="81" spans="1:7">
      <c r="A81" s="6">
        <v>45675</v>
      </c>
      <c r="B81" t="s">
        <v>5</v>
      </c>
      <c r="C81" t="s">
        <v>10</v>
      </c>
      <c r="D81" t="s">
        <v>22</v>
      </c>
      <c r="E81">
        <v>9</v>
      </c>
      <c r="F81">
        <v>50</v>
      </c>
      <c r="G81">
        <f t="shared" si="2"/>
        <v>450</v>
      </c>
    </row>
    <row r="82" spans="1:7">
      <c r="A82" s="6">
        <v>45747</v>
      </c>
      <c r="B82" t="s">
        <v>4</v>
      </c>
      <c r="C82" t="s">
        <v>8</v>
      </c>
      <c r="D82" t="s">
        <v>21</v>
      </c>
      <c r="E82">
        <v>4</v>
      </c>
      <c r="F82">
        <v>15</v>
      </c>
      <c r="G82" s="5">
        <f t="shared" si="2"/>
        <v>60</v>
      </c>
    </row>
    <row r="83" spans="1:7">
      <c r="A83" s="6">
        <v>45701</v>
      </c>
      <c r="B83" t="s">
        <v>5</v>
      </c>
      <c r="C83" t="s">
        <v>10</v>
      </c>
      <c r="D83" t="s">
        <v>20</v>
      </c>
      <c r="E83">
        <v>17</v>
      </c>
      <c r="F83">
        <v>61</v>
      </c>
      <c r="G83">
        <f t="shared" si="2"/>
        <v>1037</v>
      </c>
    </row>
    <row r="84" spans="1:7">
      <c r="A84" s="6">
        <v>45691</v>
      </c>
      <c r="B84" t="s">
        <v>4</v>
      </c>
      <c r="C84" t="s">
        <v>8</v>
      </c>
      <c r="D84" t="s">
        <v>20</v>
      </c>
      <c r="E84">
        <v>9</v>
      </c>
      <c r="F84">
        <v>35</v>
      </c>
      <c r="G84">
        <f t="shared" ref="G84:G115" si="3">E84*F84</f>
        <v>315</v>
      </c>
    </row>
    <row r="85" spans="1:7">
      <c r="A85" s="6">
        <v>45731</v>
      </c>
      <c r="B85" t="s">
        <v>3</v>
      </c>
      <c r="C85" t="s">
        <v>10</v>
      </c>
      <c r="D85" t="s">
        <v>19</v>
      </c>
      <c r="E85">
        <v>1</v>
      </c>
      <c r="F85">
        <v>73</v>
      </c>
      <c r="G85">
        <f t="shared" si="3"/>
        <v>73</v>
      </c>
    </row>
    <row r="86" spans="1:7">
      <c r="A86" s="6">
        <v>45719</v>
      </c>
      <c r="B86" t="s">
        <v>4</v>
      </c>
      <c r="C86" t="s">
        <v>9</v>
      </c>
      <c r="D86" t="s">
        <v>21</v>
      </c>
      <c r="E86">
        <v>13</v>
      </c>
      <c r="F86">
        <v>68</v>
      </c>
      <c r="G86">
        <f t="shared" si="3"/>
        <v>884</v>
      </c>
    </row>
    <row r="87" spans="1:7">
      <c r="A87" s="6">
        <v>45757</v>
      </c>
      <c r="B87" t="s">
        <v>4</v>
      </c>
      <c r="C87" t="s">
        <v>11</v>
      </c>
      <c r="D87" t="s">
        <v>20</v>
      </c>
      <c r="E87">
        <v>16</v>
      </c>
      <c r="F87">
        <v>65</v>
      </c>
      <c r="G87">
        <f t="shared" si="3"/>
        <v>1040</v>
      </c>
    </row>
    <row r="88" spans="1:7">
      <c r="A88" s="6">
        <v>45671</v>
      </c>
      <c r="B88" t="s">
        <v>4</v>
      </c>
      <c r="C88" t="s">
        <v>9</v>
      </c>
      <c r="D88" t="s">
        <v>21</v>
      </c>
      <c r="E88">
        <v>13</v>
      </c>
      <c r="F88">
        <v>68</v>
      </c>
      <c r="G88">
        <f t="shared" si="3"/>
        <v>884</v>
      </c>
    </row>
    <row r="89" spans="1:7">
      <c r="A89" s="6">
        <v>45752</v>
      </c>
      <c r="B89" t="s">
        <v>5</v>
      </c>
      <c r="C89" t="s">
        <v>11</v>
      </c>
      <c r="D89" t="s">
        <v>21</v>
      </c>
      <c r="E89">
        <v>14</v>
      </c>
      <c r="F89">
        <v>79</v>
      </c>
      <c r="G89">
        <f t="shared" si="3"/>
        <v>1106</v>
      </c>
    </row>
    <row r="90" spans="1:7">
      <c r="A90" s="6">
        <v>45705</v>
      </c>
      <c r="B90" t="s">
        <v>5</v>
      </c>
      <c r="C90" t="s">
        <v>10</v>
      </c>
      <c r="D90" t="s">
        <v>19</v>
      </c>
      <c r="E90">
        <v>3</v>
      </c>
      <c r="F90">
        <v>42</v>
      </c>
      <c r="G90">
        <f t="shared" si="3"/>
        <v>126</v>
      </c>
    </row>
    <row r="91" spans="1:7">
      <c r="A91" s="6">
        <v>45672</v>
      </c>
      <c r="B91" t="s">
        <v>4</v>
      </c>
      <c r="C91" t="s">
        <v>8</v>
      </c>
      <c r="D91" t="s">
        <v>20</v>
      </c>
      <c r="E91">
        <v>6</v>
      </c>
      <c r="F91">
        <v>62</v>
      </c>
      <c r="G91">
        <f t="shared" si="3"/>
        <v>372</v>
      </c>
    </row>
    <row r="92" spans="1:7">
      <c r="A92" s="6">
        <v>45729</v>
      </c>
      <c r="B92" t="s">
        <v>5</v>
      </c>
      <c r="C92" t="s">
        <v>9</v>
      </c>
      <c r="D92" t="s">
        <v>22</v>
      </c>
      <c r="E92">
        <v>18</v>
      </c>
      <c r="F92">
        <v>31</v>
      </c>
      <c r="G92">
        <f t="shared" si="3"/>
        <v>558</v>
      </c>
    </row>
    <row r="93" spans="1:7">
      <c r="A93" s="6">
        <v>45735</v>
      </c>
      <c r="B93" t="s">
        <v>2</v>
      </c>
      <c r="C93" t="s">
        <v>11</v>
      </c>
      <c r="D93" t="s">
        <v>19</v>
      </c>
      <c r="E93">
        <v>19</v>
      </c>
      <c r="F93">
        <v>30</v>
      </c>
      <c r="G93">
        <f t="shared" si="3"/>
        <v>570</v>
      </c>
    </row>
    <row r="94" spans="1:7">
      <c r="A94" s="6">
        <v>45744</v>
      </c>
      <c r="B94" t="s">
        <v>2</v>
      </c>
      <c r="C94" t="s">
        <v>9</v>
      </c>
      <c r="D94" t="s">
        <v>20</v>
      </c>
      <c r="E94">
        <v>5</v>
      </c>
      <c r="F94">
        <v>79</v>
      </c>
      <c r="G94">
        <f t="shared" si="3"/>
        <v>395</v>
      </c>
    </row>
    <row r="95" spans="1:7">
      <c r="A95" s="6">
        <v>45719</v>
      </c>
      <c r="B95" t="s">
        <v>5</v>
      </c>
      <c r="C95" t="s">
        <v>11</v>
      </c>
      <c r="D95" t="s">
        <v>20</v>
      </c>
      <c r="E95">
        <v>15</v>
      </c>
      <c r="F95">
        <v>79</v>
      </c>
      <c r="G95">
        <f t="shared" si="3"/>
        <v>1185</v>
      </c>
    </row>
    <row r="96" spans="1:7">
      <c r="A96" s="6">
        <v>45697</v>
      </c>
      <c r="B96" t="s">
        <v>5</v>
      </c>
      <c r="C96" t="s">
        <v>9</v>
      </c>
      <c r="D96" t="s">
        <v>20</v>
      </c>
      <c r="E96">
        <v>2</v>
      </c>
      <c r="F96">
        <v>13</v>
      </c>
      <c r="G96">
        <f t="shared" si="3"/>
        <v>26</v>
      </c>
    </row>
    <row r="97" spans="1:7">
      <c r="A97" s="6">
        <v>45742</v>
      </c>
      <c r="B97" t="s">
        <v>4</v>
      </c>
      <c r="C97" t="s">
        <v>11</v>
      </c>
      <c r="D97" t="s">
        <v>20</v>
      </c>
      <c r="E97">
        <v>10</v>
      </c>
      <c r="F97">
        <v>84</v>
      </c>
      <c r="G97" s="5">
        <f t="shared" si="3"/>
        <v>840</v>
      </c>
    </row>
    <row r="98" spans="1:7">
      <c r="A98" s="6">
        <v>45737</v>
      </c>
      <c r="B98" t="s">
        <v>3</v>
      </c>
      <c r="C98" t="s">
        <v>11</v>
      </c>
      <c r="D98" t="s">
        <v>20</v>
      </c>
      <c r="E98">
        <v>18</v>
      </c>
      <c r="F98">
        <v>71</v>
      </c>
      <c r="G98">
        <f t="shared" si="3"/>
        <v>1278</v>
      </c>
    </row>
    <row r="99" spans="1:7">
      <c r="A99" s="6">
        <v>45739</v>
      </c>
      <c r="B99" t="s">
        <v>5</v>
      </c>
      <c r="C99" t="s">
        <v>10</v>
      </c>
      <c r="D99" t="s">
        <v>21</v>
      </c>
      <c r="E99">
        <v>13</v>
      </c>
      <c r="F99">
        <v>71</v>
      </c>
      <c r="G99">
        <f t="shared" si="3"/>
        <v>923</v>
      </c>
    </row>
    <row r="100" spans="1:7">
      <c r="A100" s="6">
        <v>45710</v>
      </c>
      <c r="B100" t="s">
        <v>2</v>
      </c>
      <c r="C100" t="s">
        <v>11</v>
      </c>
      <c r="D100" t="s">
        <v>19</v>
      </c>
      <c r="E100">
        <v>5</v>
      </c>
      <c r="F100">
        <v>33</v>
      </c>
      <c r="G100">
        <f t="shared" si="3"/>
        <v>165</v>
      </c>
    </row>
    <row r="101" spans="1:7">
      <c r="A101" s="6">
        <v>45681</v>
      </c>
      <c r="B101" t="s">
        <v>4</v>
      </c>
      <c r="C101" t="s">
        <v>10</v>
      </c>
      <c r="D101" t="s">
        <v>21</v>
      </c>
      <c r="E101">
        <v>1</v>
      </c>
      <c r="F101">
        <v>64</v>
      </c>
      <c r="G101">
        <f t="shared" si="3"/>
        <v>64</v>
      </c>
    </row>
    <row r="102" spans="1:7">
      <c r="A102" s="6">
        <v>45683</v>
      </c>
      <c r="B102" t="s">
        <v>5</v>
      </c>
      <c r="C102" t="s">
        <v>11</v>
      </c>
      <c r="D102" t="s">
        <v>22</v>
      </c>
      <c r="E102">
        <v>1</v>
      </c>
      <c r="F102">
        <v>18</v>
      </c>
      <c r="G102">
        <f t="shared" si="3"/>
        <v>18</v>
      </c>
    </row>
    <row r="103" spans="1:7">
      <c r="A103" s="6">
        <v>45746</v>
      </c>
      <c r="B103" t="s">
        <v>2</v>
      </c>
      <c r="C103" t="s">
        <v>8</v>
      </c>
      <c r="D103" t="s">
        <v>20</v>
      </c>
      <c r="E103">
        <v>18</v>
      </c>
      <c r="F103">
        <v>12</v>
      </c>
      <c r="G103">
        <f t="shared" si="3"/>
        <v>216</v>
      </c>
    </row>
    <row r="104" spans="1:7">
      <c r="A104" s="6">
        <v>45717</v>
      </c>
      <c r="B104" t="s">
        <v>2</v>
      </c>
      <c r="C104" t="s">
        <v>8</v>
      </c>
      <c r="D104" t="s">
        <v>19</v>
      </c>
      <c r="E104">
        <v>15</v>
      </c>
      <c r="F104">
        <v>40</v>
      </c>
      <c r="G104">
        <f t="shared" si="3"/>
        <v>600</v>
      </c>
    </row>
    <row r="105" spans="1:7">
      <c r="A105" s="6">
        <v>45698</v>
      </c>
      <c r="B105" t="s">
        <v>3</v>
      </c>
      <c r="C105" t="s">
        <v>8</v>
      </c>
      <c r="D105" t="s">
        <v>20</v>
      </c>
      <c r="E105">
        <v>17</v>
      </c>
      <c r="F105">
        <v>49</v>
      </c>
      <c r="G105">
        <f t="shared" si="3"/>
        <v>833</v>
      </c>
    </row>
    <row r="106" spans="1:7">
      <c r="A106" s="6">
        <v>45686</v>
      </c>
      <c r="B106" t="s">
        <v>4</v>
      </c>
      <c r="C106" t="s">
        <v>11</v>
      </c>
      <c r="D106" t="s">
        <v>19</v>
      </c>
      <c r="E106">
        <v>11</v>
      </c>
      <c r="F106">
        <v>45</v>
      </c>
      <c r="G106">
        <f t="shared" si="3"/>
        <v>495</v>
      </c>
    </row>
    <row r="107" spans="1:7">
      <c r="A107" s="6">
        <v>45672</v>
      </c>
      <c r="B107" t="s">
        <v>4</v>
      </c>
      <c r="C107" t="s">
        <v>10</v>
      </c>
      <c r="D107" t="s">
        <v>21</v>
      </c>
      <c r="E107">
        <v>17</v>
      </c>
      <c r="F107">
        <v>33</v>
      </c>
      <c r="G107">
        <f t="shared" si="3"/>
        <v>561</v>
      </c>
    </row>
    <row r="108" spans="1:7">
      <c r="A108" s="6">
        <v>45702</v>
      </c>
      <c r="B108" t="s">
        <v>3</v>
      </c>
      <c r="C108" t="s">
        <v>10</v>
      </c>
      <c r="D108" t="s">
        <v>19</v>
      </c>
      <c r="E108">
        <v>13</v>
      </c>
      <c r="F108">
        <v>15</v>
      </c>
      <c r="G108">
        <f t="shared" si="3"/>
        <v>195</v>
      </c>
    </row>
    <row r="109" spans="1:7">
      <c r="A109" s="6">
        <v>45722</v>
      </c>
      <c r="B109" t="s">
        <v>3</v>
      </c>
      <c r="C109" t="s">
        <v>11</v>
      </c>
      <c r="D109" t="s">
        <v>22</v>
      </c>
      <c r="E109">
        <v>1</v>
      </c>
      <c r="F109">
        <v>75</v>
      </c>
      <c r="G109">
        <f t="shared" si="3"/>
        <v>75</v>
      </c>
    </row>
    <row r="110" spans="1:7">
      <c r="A110" s="6">
        <v>45746</v>
      </c>
      <c r="B110" t="s">
        <v>4</v>
      </c>
      <c r="C110" t="s">
        <v>8</v>
      </c>
      <c r="D110" t="s">
        <v>22</v>
      </c>
      <c r="E110">
        <v>2</v>
      </c>
      <c r="F110">
        <v>93</v>
      </c>
      <c r="G110">
        <f t="shared" si="3"/>
        <v>186</v>
      </c>
    </row>
    <row r="111" spans="1:7">
      <c r="A111" s="6">
        <v>45728</v>
      </c>
      <c r="B111" t="s">
        <v>4</v>
      </c>
      <c r="C111" t="s">
        <v>8</v>
      </c>
      <c r="D111" t="s">
        <v>19</v>
      </c>
      <c r="E111">
        <v>9</v>
      </c>
      <c r="F111">
        <v>84</v>
      </c>
      <c r="G111">
        <f t="shared" si="3"/>
        <v>756</v>
      </c>
    </row>
    <row r="112" spans="1:7">
      <c r="A112" s="6">
        <v>45666</v>
      </c>
      <c r="B112" t="s">
        <v>5</v>
      </c>
      <c r="C112" t="s">
        <v>10</v>
      </c>
      <c r="D112" t="s">
        <v>19</v>
      </c>
      <c r="E112">
        <v>3</v>
      </c>
      <c r="F112">
        <v>13</v>
      </c>
      <c r="G112" s="5">
        <f t="shared" si="3"/>
        <v>39</v>
      </c>
    </row>
    <row r="113" spans="1:7">
      <c r="A113" s="6">
        <v>45745</v>
      </c>
      <c r="B113" t="s">
        <v>5</v>
      </c>
      <c r="C113" t="s">
        <v>8</v>
      </c>
      <c r="D113" t="s">
        <v>19</v>
      </c>
      <c r="E113">
        <v>1</v>
      </c>
      <c r="F113">
        <v>88</v>
      </c>
      <c r="G113">
        <f t="shared" si="3"/>
        <v>88</v>
      </c>
    </row>
    <row r="114" spans="1:7">
      <c r="A114" s="6">
        <v>45658</v>
      </c>
      <c r="B114" t="s">
        <v>3</v>
      </c>
      <c r="C114" t="s">
        <v>9</v>
      </c>
      <c r="D114" t="s">
        <v>19</v>
      </c>
      <c r="E114">
        <v>16</v>
      </c>
      <c r="F114">
        <v>15</v>
      </c>
      <c r="G114">
        <f t="shared" si="3"/>
        <v>240</v>
      </c>
    </row>
    <row r="115" spans="1:7">
      <c r="A115" s="6">
        <v>45665</v>
      </c>
      <c r="B115" t="s">
        <v>5</v>
      </c>
      <c r="C115" t="s">
        <v>10</v>
      </c>
      <c r="D115" t="s">
        <v>22</v>
      </c>
      <c r="E115">
        <v>6</v>
      </c>
      <c r="F115">
        <v>60</v>
      </c>
      <c r="G115">
        <f t="shared" si="3"/>
        <v>360</v>
      </c>
    </row>
    <row r="116" spans="1:7">
      <c r="A116" s="6">
        <v>45745</v>
      </c>
      <c r="B116" t="s">
        <v>2</v>
      </c>
      <c r="C116" t="s">
        <v>8</v>
      </c>
      <c r="D116" t="s">
        <v>20</v>
      </c>
      <c r="E116">
        <v>17</v>
      </c>
      <c r="F116">
        <v>71</v>
      </c>
      <c r="G116">
        <f t="shared" ref="G116:G147" si="4">E116*F116</f>
        <v>1207</v>
      </c>
    </row>
    <row r="117" spans="1:7">
      <c r="A117" s="6">
        <v>45720</v>
      </c>
      <c r="B117" t="s">
        <v>5</v>
      </c>
      <c r="C117" t="s">
        <v>10</v>
      </c>
      <c r="D117" t="s">
        <v>19</v>
      </c>
      <c r="E117">
        <v>5</v>
      </c>
      <c r="F117">
        <v>66</v>
      </c>
      <c r="G117">
        <f t="shared" si="4"/>
        <v>330</v>
      </c>
    </row>
    <row r="118" spans="1:7">
      <c r="A118" s="6">
        <v>45668</v>
      </c>
      <c r="B118" t="s">
        <v>5</v>
      </c>
      <c r="C118" t="s">
        <v>9</v>
      </c>
      <c r="D118" t="s">
        <v>19</v>
      </c>
      <c r="E118">
        <v>5</v>
      </c>
      <c r="F118">
        <v>75</v>
      </c>
      <c r="G118">
        <f t="shared" si="4"/>
        <v>375</v>
      </c>
    </row>
    <row r="119" spans="1:7">
      <c r="A119" s="6">
        <v>45738</v>
      </c>
      <c r="B119" t="s">
        <v>2</v>
      </c>
      <c r="C119" t="s">
        <v>10</v>
      </c>
      <c r="D119" t="s">
        <v>22</v>
      </c>
      <c r="E119">
        <v>6</v>
      </c>
      <c r="F119">
        <v>88</v>
      </c>
      <c r="G119">
        <f t="shared" si="4"/>
        <v>528</v>
      </c>
    </row>
    <row r="120" spans="1:7">
      <c r="A120" s="6">
        <v>45665</v>
      </c>
      <c r="B120" t="s">
        <v>3</v>
      </c>
      <c r="C120" t="s">
        <v>10</v>
      </c>
      <c r="D120" t="s">
        <v>22</v>
      </c>
      <c r="E120">
        <v>3</v>
      </c>
      <c r="F120">
        <v>84</v>
      </c>
      <c r="G120">
        <f t="shared" si="4"/>
        <v>252</v>
      </c>
    </row>
    <row r="121" spans="1:7">
      <c r="A121" s="6">
        <v>45692</v>
      </c>
      <c r="B121" t="s">
        <v>2</v>
      </c>
      <c r="C121" t="s">
        <v>10</v>
      </c>
      <c r="D121" t="s">
        <v>21</v>
      </c>
      <c r="E121">
        <v>5</v>
      </c>
      <c r="F121">
        <v>17</v>
      </c>
      <c r="G121">
        <f t="shared" si="4"/>
        <v>85</v>
      </c>
    </row>
    <row r="122" spans="1:7">
      <c r="A122" s="6">
        <v>45692</v>
      </c>
      <c r="B122" t="s">
        <v>5</v>
      </c>
      <c r="C122" t="s">
        <v>10</v>
      </c>
      <c r="D122" t="s">
        <v>19</v>
      </c>
      <c r="E122">
        <v>5</v>
      </c>
      <c r="F122">
        <v>35</v>
      </c>
      <c r="G122">
        <f t="shared" si="4"/>
        <v>175</v>
      </c>
    </row>
    <row r="123" spans="1:7">
      <c r="A123" s="6">
        <v>45690</v>
      </c>
      <c r="B123" t="s">
        <v>3</v>
      </c>
      <c r="C123" t="s">
        <v>9</v>
      </c>
      <c r="D123" t="s">
        <v>21</v>
      </c>
      <c r="E123">
        <v>10</v>
      </c>
      <c r="F123">
        <v>60</v>
      </c>
      <c r="G123">
        <f t="shared" si="4"/>
        <v>600</v>
      </c>
    </row>
    <row r="124" spans="1:7">
      <c r="A124" s="6">
        <v>45662</v>
      </c>
      <c r="B124" t="s">
        <v>5</v>
      </c>
      <c r="C124" t="s">
        <v>11</v>
      </c>
      <c r="D124" t="s">
        <v>22</v>
      </c>
      <c r="E124">
        <v>10</v>
      </c>
      <c r="F124">
        <v>54</v>
      </c>
      <c r="G124">
        <f t="shared" si="4"/>
        <v>540</v>
      </c>
    </row>
    <row r="125" spans="1:7">
      <c r="A125" s="6">
        <v>45698</v>
      </c>
      <c r="B125" t="s">
        <v>2</v>
      </c>
      <c r="C125" t="s">
        <v>10</v>
      </c>
      <c r="D125" t="s">
        <v>22</v>
      </c>
      <c r="E125">
        <v>19</v>
      </c>
      <c r="F125">
        <v>53</v>
      </c>
      <c r="G125">
        <f t="shared" si="4"/>
        <v>1007</v>
      </c>
    </row>
    <row r="126" spans="1:7">
      <c r="A126" s="6">
        <v>45685</v>
      </c>
      <c r="B126" t="s">
        <v>2</v>
      </c>
      <c r="C126" t="s">
        <v>10</v>
      </c>
      <c r="D126" t="s">
        <v>20</v>
      </c>
      <c r="E126">
        <v>17</v>
      </c>
      <c r="F126">
        <v>14</v>
      </c>
      <c r="G126">
        <f t="shared" si="4"/>
        <v>238</v>
      </c>
    </row>
    <row r="127" spans="1:7">
      <c r="A127" s="6">
        <v>45664</v>
      </c>
      <c r="B127" t="s">
        <v>5</v>
      </c>
      <c r="C127" t="s">
        <v>8</v>
      </c>
      <c r="D127" t="s">
        <v>19</v>
      </c>
      <c r="E127">
        <v>14</v>
      </c>
      <c r="F127">
        <v>79</v>
      </c>
      <c r="G127" s="5">
        <f t="shared" si="4"/>
        <v>1106</v>
      </c>
    </row>
    <row r="128" spans="1:7">
      <c r="A128" s="6">
        <v>45730</v>
      </c>
      <c r="B128" t="s">
        <v>4</v>
      </c>
      <c r="C128" t="s">
        <v>10</v>
      </c>
      <c r="D128" t="s">
        <v>21</v>
      </c>
      <c r="E128">
        <v>9</v>
      </c>
      <c r="F128">
        <v>35</v>
      </c>
      <c r="G128">
        <f t="shared" si="4"/>
        <v>315</v>
      </c>
    </row>
    <row r="129" spans="1:7">
      <c r="A129" s="6">
        <v>45729</v>
      </c>
      <c r="B129" t="s">
        <v>4</v>
      </c>
      <c r="C129" t="s">
        <v>8</v>
      </c>
      <c r="D129" t="s">
        <v>22</v>
      </c>
      <c r="E129">
        <v>14</v>
      </c>
      <c r="F129">
        <v>77</v>
      </c>
      <c r="G129">
        <f t="shared" si="4"/>
        <v>1078</v>
      </c>
    </row>
    <row r="130" spans="1:7">
      <c r="A130" s="6">
        <v>45669</v>
      </c>
      <c r="B130" t="s">
        <v>2</v>
      </c>
      <c r="C130" t="s">
        <v>11</v>
      </c>
      <c r="D130" t="s">
        <v>22</v>
      </c>
      <c r="E130">
        <v>1</v>
      </c>
      <c r="F130">
        <v>28</v>
      </c>
      <c r="G130">
        <f t="shared" si="4"/>
        <v>28</v>
      </c>
    </row>
    <row r="131" spans="1:7">
      <c r="A131" s="6">
        <v>45691</v>
      </c>
      <c r="B131" t="s">
        <v>2</v>
      </c>
      <c r="C131" t="s">
        <v>9</v>
      </c>
      <c r="D131" t="s">
        <v>21</v>
      </c>
      <c r="E131">
        <v>19</v>
      </c>
      <c r="F131">
        <v>93</v>
      </c>
      <c r="G131">
        <f t="shared" si="4"/>
        <v>1767</v>
      </c>
    </row>
    <row r="132" spans="1:7">
      <c r="A132" s="6">
        <v>45690</v>
      </c>
      <c r="B132" t="s">
        <v>4</v>
      </c>
      <c r="C132" t="s">
        <v>9</v>
      </c>
      <c r="D132" t="s">
        <v>20</v>
      </c>
      <c r="E132">
        <v>13</v>
      </c>
      <c r="F132">
        <v>29</v>
      </c>
      <c r="G132">
        <f t="shared" si="4"/>
        <v>377</v>
      </c>
    </row>
    <row r="133" spans="1:7">
      <c r="A133" s="6">
        <v>45705</v>
      </c>
      <c r="B133" t="s">
        <v>4</v>
      </c>
      <c r="C133" t="s">
        <v>11</v>
      </c>
      <c r="D133" t="s">
        <v>22</v>
      </c>
      <c r="E133">
        <v>13</v>
      </c>
      <c r="F133">
        <v>21</v>
      </c>
      <c r="G133">
        <f t="shared" si="4"/>
        <v>273</v>
      </c>
    </row>
    <row r="134" spans="1:7">
      <c r="A134" s="6">
        <v>45680</v>
      </c>
      <c r="B134" t="s">
        <v>5</v>
      </c>
      <c r="C134" t="s">
        <v>9</v>
      </c>
      <c r="D134" t="s">
        <v>19</v>
      </c>
      <c r="E134">
        <v>4</v>
      </c>
      <c r="F134">
        <v>56</v>
      </c>
      <c r="G134">
        <f t="shared" si="4"/>
        <v>224</v>
      </c>
    </row>
    <row r="135" spans="1:7">
      <c r="A135" s="6">
        <v>45719</v>
      </c>
      <c r="B135" t="s">
        <v>5</v>
      </c>
      <c r="C135" t="s">
        <v>11</v>
      </c>
      <c r="D135" t="s">
        <v>22</v>
      </c>
      <c r="E135">
        <v>1</v>
      </c>
      <c r="F135">
        <v>10</v>
      </c>
      <c r="G135">
        <f t="shared" si="4"/>
        <v>10</v>
      </c>
    </row>
    <row r="136" spans="1:7">
      <c r="A136" s="6">
        <v>45745</v>
      </c>
      <c r="B136" t="s">
        <v>4</v>
      </c>
      <c r="C136" t="s">
        <v>11</v>
      </c>
      <c r="D136" t="s">
        <v>19</v>
      </c>
      <c r="E136">
        <v>17</v>
      </c>
      <c r="F136">
        <v>99</v>
      </c>
      <c r="G136">
        <f t="shared" si="4"/>
        <v>1683</v>
      </c>
    </row>
    <row r="137" spans="1:7">
      <c r="A137" s="6">
        <v>45694</v>
      </c>
      <c r="B137" t="s">
        <v>5</v>
      </c>
      <c r="C137" t="s">
        <v>11</v>
      </c>
      <c r="D137" t="s">
        <v>21</v>
      </c>
      <c r="E137">
        <v>8</v>
      </c>
      <c r="F137">
        <v>23</v>
      </c>
      <c r="G137">
        <f t="shared" si="4"/>
        <v>184</v>
      </c>
    </row>
    <row r="138" spans="1:7">
      <c r="A138" s="6">
        <v>45756</v>
      </c>
      <c r="B138" t="s">
        <v>5</v>
      </c>
      <c r="C138" t="s">
        <v>9</v>
      </c>
      <c r="D138" t="s">
        <v>19</v>
      </c>
      <c r="E138">
        <v>2</v>
      </c>
      <c r="F138">
        <v>73</v>
      </c>
      <c r="G138">
        <f t="shared" si="4"/>
        <v>146</v>
      </c>
    </row>
    <row r="139" spans="1:7">
      <c r="A139" s="6">
        <v>45701</v>
      </c>
      <c r="B139" t="s">
        <v>3</v>
      </c>
      <c r="C139" t="s">
        <v>8</v>
      </c>
      <c r="D139" t="s">
        <v>21</v>
      </c>
      <c r="E139">
        <v>8</v>
      </c>
      <c r="F139">
        <v>47</v>
      </c>
      <c r="G139">
        <f t="shared" si="4"/>
        <v>376</v>
      </c>
    </row>
    <row r="140" spans="1:7">
      <c r="A140" s="6">
        <v>45743</v>
      </c>
      <c r="B140" t="s">
        <v>5</v>
      </c>
      <c r="C140" t="s">
        <v>11</v>
      </c>
      <c r="D140" t="s">
        <v>19</v>
      </c>
      <c r="E140">
        <v>7</v>
      </c>
      <c r="F140">
        <v>46</v>
      </c>
      <c r="G140">
        <f t="shared" si="4"/>
        <v>322</v>
      </c>
    </row>
    <row r="141" spans="1:7">
      <c r="A141" s="6">
        <v>45748</v>
      </c>
      <c r="B141" t="s">
        <v>2</v>
      </c>
      <c r="C141" t="s">
        <v>10</v>
      </c>
      <c r="D141" t="s">
        <v>21</v>
      </c>
      <c r="E141">
        <v>2</v>
      </c>
      <c r="F141">
        <v>20</v>
      </c>
      <c r="G141">
        <f t="shared" si="4"/>
        <v>40</v>
      </c>
    </row>
    <row r="142" spans="1:7">
      <c r="A142" s="6">
        <v>45692</v>
      </c>
      <c r="B142" t="s">
        <v>5</v>
      </c>
      <c r="C142" t="s">
        <v>9</v>
      </c>
      <c r="D142" t="s">
        <v>19</v>
      </c>
      <c r="E142">
        <v>3</v>
      </c>
      <c r="F142">
        <v>86</v>
      </c>
      <c r="G142" s="5">
        <f t="shared" si="4"/>
        <v>258</v>
      </c>
    </row>
    <row r="143" spans="1:7">
      <c r="A143" s="6">
        <v>45722</v>
      </c>
      <c r="B143" t="s">
        <v>5</v>
      </c>
      <c r="C143" t="s">
        <v>11</v>
      </c>
      <c r="D143" t="s">
        <v>20</v>
      </c>
      <c r="E143">
        <v>18</v>
      </c>
      <c r="F143">
        <v>12</v>
      </c>
      <c r="G143">
        <f t="shared" si="4"/>
        <v>216</v>
      </c>
    </row>
    <row r="144" spans="1:7">
      <c r="A144" s="6">
        <v>45756</v>
      </c>
      <c r="B144" t="s">
        <v>4</v>
      </c>
      <c r="C144" t="s">
        <v>11</v>
      </c>
      <c r="D144" t="s">
        <v>19</v>
      </c>
      <c r="E144">
        <v>12</v>
      </c>
      <c r="F144">
        <v>42</v>
      </c>
      <c r="G144">
        <f t="shared" si="4"/>
        <v>504</v>
      </c>
    </row>
    <row r="145" spans="1:7">
      <c r="A145" s="6">
        <v>45704</v>
      </c>
      <c r="B145" t="s">
        <v>2</v>
      </c>
      <c r="C145" t="s">
        <v>10</v>
      </c>
      <c r="D145" t="s">
        <v>19</v>
      </c>
      <c r="E145">
        <v>1</v>
      </c>
      <c r="F145">
        <v>15</v>
      </c>
      <c r="G145">
        <f t="shared" si="4"/>
        <v>15</v>
      </c>
    </row>
    <row r="146" spans="1:7">
      <c r="A146" s="6">
        <v>45735</v>
      </c>
      <c r="B146" t="s">
        <v>5</v>
      </c>
      <c r="C146" t="s">
        <v>8</v>
      </c>
      <c r="D146" t="s">
        <v>20</v>
      </c>
      <c r="E146">
        <v>12</v>
      </c>
      <c r="F146">
        <v>59</v>
      </c>
      <c r="G146">
        <f t="shared" si="4"/>
        <v>708</v>
      </c>
    </row>
    <row r="147" spans="1:7">
      <c r="A147" s="6">
        <v>45660</v>
      </c>
      <c r="B147" t="s">
        <v>5</v>
      </c>
      <c r="C147" t="s">
        <v>8</v>
      </c>
      <c r="D147" t="s">
        <v>22</v>
      </c>
      <c r="E147">
        <v>5</v>
      </c>
      <c r="F147">
        <v>19</v>
      </c>
      <c r="G147">
        <f t="shared" si="4"/>
        <v>95</v>
      </c>
    </row>
    <row r="148" spans="1:7">
      <c r="A148" s="6">
        <v>45658</v>
      </c>
      <c r="B148" t="s">
        <v>3</v>
      </c>
      <c r="C148" t="s">
        <v>8</v>
      </c>
      <c r="D148" t="s">
        <v>22</v>
      </c>
      <c r="E148">
        <v>17</v>
      </c>
      <c r="F148">
        <v>14</v>
      </c>
      <c r="G148">
        <f t="shared" ref="G148:G179" si="5">E148*F148</f>
        <v>238</v>
      </c>
    </row>
    <row r="149" spans="1:7">
      <c r="A149" s="6">
        <v>45662</v>
      </c>
      <c r="B149" t="s">
        <v>5</v>
      </c>
      <c r="C149" t="s">
        <v>11</v>
      </c>
      <c r="D149" t="s">
        <v>19</v>
      </c>
      <c r="E149">
        <v>16</v>
      </c>
      <c r="F149">
        <v>32</v>
      </c>
      <c r="G149">
        <f t="shared" si="5"/>
        <v>512</v>
      </c>
    </row>
    <row r="150" spans="1:7">
      <c r="A150" s="6">
        <v>45747</v>
      </c>
      <c r="B150" t="s">
        <v>5</v>
      </c>
      <c r="C150" t="s">
        <v>11</v>
      </c>
      <c r="D150" t="s">
        <v>20</v>
      </c>
      <c r="E150">
        <v>15</v>
      </c>
      <c r="F150">
        <v>19</v>
      </c>
      <c r="G150">
        <f t="shared" si="5"/>
        <v>285</v>
      </c>
    </row>
    <row r="151" spans="1:7">
      <c r="A151" s="6">
        <v>45671</v>
      </c>
      <c r="B151" t="s">
        <v>3</v>
      </c>
      <c r="C151" t="s">
        <v>11</v>
      </c>
      <c r="D151" t="s">
        <v>19</v>
      </c>
      <c r="E151">
        <v>15</v>
      </c>
      <c r="F151">
        <v>53</v>
      </c>
      <c r="G151">
        <f t="shared" si="5"/>
        <v>795</v>
      </c>
    </row>
    <row r="152" spans="1:7">
      <c r="A152" s="6">
        <v>45684</v>
      </c>
      <c r="B152" t="s">
        <v>4</v>
      </c>
      <c r="C152" t="s">
        <v>9</v>
      </c>
      <c r="D152" t="s">
        <v>21</v>
      </c>
      <c r="E152">
        <v>5</v>
      </c>
      <c r="F152">
        <v>11</v>
      </c>
      <c r="G152">
        <f t="shared" si="5"/>
        <v>55</v>
      </c>
    </row>
    <row r="153" spans="1:7">
      <c r="A153" s="6">
        <v>45666</v>
      </c>
      <c r="B153" t="s">
        <v>5</v>
      </c>
      <c r="C153" t="s">
        <v>10</v>
      </c>
      <c r="D153" t="s">
        <v>21</v>
      </c>
      <c r="E153">
        <v>14</v>
      </c>
      <c r="F153">
        <v>22</v>
      </c>
      <c r="G153">
        <f t="shared" si="5"/>
        <v>308</v>
      </c>
    </row>
    <row r="154" spans="1:7">
      <c r="A154" s="6">
        <v>45736</v>
      </c>
      <c r="B154" t="s">
        <v>3</v>
      </c>
      <c r="C154" t="s">
        <v>11</v>
      </c>
      <c r="D154" t="s">
        <v>19</v>
      </c>
      <c r="E154">
        <v>2</v>
      </c>
      <c r="F154">
        <v>49</v>
      </c>
      <c r="G154">
        <f t="shared" si="5"/>
        <v>98</v>
      </c>
    </row>
    <row r="155" spans="1:7">
      <c r="A155" s="6">
        <v>45672</v>
      </c>
      <c r="B155" t="s">
        <v>2</v>
      </c>
      <c r="C155" t="s">
        <v>10</v>
      </c>
      <c r="D155" t="s">
        <v>22</v>
      </c>
      <c r="E155">
        <v>11</v>
      </c>
      <c r="F155">
        <v>11</v>
      </c>
      <c r="G155">
        <f t="shared" si="5"/>
        <v>121</v>
      </c>
    </row>
    <row r="156" spans="1:7">
      <c r="A156" s="6">
        <v>45747</v>
      </c>
      <c r="B156" t="s">
        <v>4</v>
      </c>
      <c r="C156" t="s">
        <v>10</v>
      </c>
      <c r="D156" t="s">
        <v>22</v>
      </c>
      <c r="E156">
        <v>19</v>
      </c>
      <c r="F156">
        <v>93</v>
      </c>
      <c r="G156">
        <f t="shared" si="5"/>
        <v>1767</v>
      </c>
    </row>
    <row r="157" spans="1:7">
      <c r="A157" s="6">
        <v>45699</v>
      </c>
      <c r="B157" t="s">
        <v>2</v>
      </c>
      <c r="C157" t="s">
        <v>8</v>
      </c>
      <c r="D157" t="s">
        <v>19</v>
      </c>
      <c r="E157">
        <v>7</v>
      </c>
      <c r="F157">
        <v>74</v>
      </c>
      <c r="G157" s="5">
        <f t="shared" si="5"/>
        <v>518</v>
      </c>
    </row>
    <row r="158" spans="1:7">
      <c r="A158" s="6">
        <v>45734</v>
      </c>
      <c r="B158" t="s">
        <v>2</v>
      </c>
      <c r="C158" t="s">
        <v>9</v>
      </c>
      <c r="D158" t="s">
        <v>19</v>
      </c>
      <c r="E158">
        <v>6</v>
      </c>
      <c r="F158">
        <v>72</v>
      </c>
      <c r="G158">
        <f t="shared" si="5"/>
        <v>432</v>
      </c>
    </row>
    <row r="159" spans="1:7">
      <c r="A159" s="6">
        <v>45708</v>
      </c>
      <c r="B159" t="s">
        <v>3</v>
      </c>
      <c r="C159" t="s">
        <v>11</v>
      </c>
      <c r="D159" t="s">
        <v>21</v>
      </c>
      <c r="E159">
        <v>2</v>
      </c>
      <c r="F159">
        <v>82</v>
      </c>
      <c r="G159">
        <f t="shared" si="5"/>
        <v>164</v>
      </c>
    </row>
    <row r="160" spans="1:7">
      <c r="A160" s="6">
        <v>45720</v>
      </c>
      <c r="B160" t="s">
        <v>5</v>
      </c>
      <c r="C160" t="s">
        <v>8</v>
      </c>
      <c r="D160" t="s">
        <v>22</v>
      </c>
      <c r="E160">
        <v>6</v>
      </c>
      <c r="F160">
        <v>26</v>
      </c>
      <c r="G160">
        <f t="shared" si="5"/>
        <v>156</v>
      </c>
    </row>
    <row r="161" spans="1:7">
      <c r="A161" s="6">
        <v>45753</v>
      </c>
      <c r="B161" t="s">
        <v>3</v>
      </c>
      <c r="C161" t="s">
        <v>8</v>
      </c>
      <c r="D161" t="s">
        <v>19</v>
      </c>
      <c r="E161">
        <v>18</v>
      </c>
      <c r="F161">
        <v>18</v>
      </c>
      <c r="G161">
        <f t="shared" si="5"/>
        <v>324</v>
      </c>
    </row>
    <row r="162" spans="1:7">
      <c r="A162" s="6">
        <v>45709</v>
      </c>
      <c r="B162" t="s">
        <v>3</v>
      </c>
      <c r="C162" t="s">
        <v>11</v>
      </c>
      <c r="D162" t="s">
        <v>21</v>
      </c>
      <c r="E162">
        <v>2</v>
      </c>
      <c r="F162">
        <v>84</v>
      </c>
      <c r="G162">
        <f t="shared" si="5"/>
        <v>168</v>
      </c>
    </row>
    <row r="163" spans="1:7">
      <c r="A163" s="6">
        <v>45753</v>
      </c>
      <c r="B163" t="s">
        <v>3</v>
      </c>
      <c r="C163" t="s">
        <v>10</v>
      </c>
      <c r="D163" t="s">
        <v>22</v>
      </c>
      <c r="E163">
        <v>18</v>
      </c>
      <c r="F163">
        <v>24</v>
      </c>
      <c r="G163">
        <f t="shared" si="5"/>
        <v>432</v>
      </c>
    </row>
    <row r="164" spans="1:7">
      <c r="A164" s="6">
        <v>45661</v>
      </c>
      <c r="B164" t="s">
        <v>3</v>
      </c>
      <c r="C164" t="s">
        <v>8</v>
      </c>
      <c r="D164" t="s">
        <v>20</v>
      </c>
      <c r="E164">
        <v>15</v>
      </c>
      <c r="F164">
        <v>33</v>
      </c>
      <c r="G164">
        <f t="shared" si="5"/>
        <v>495</v>
      </c>
    </row>
    <row r="165" spans="1:7">
      <c r="A165" s="6">
        <v>45751</v>
      </c>
      <c r="B165" t="s">
        <v>4</v>
      </c>
      <c r="C165" t="s">
        <v>10</v>
      </c>
      <c r="D165" t="s">
        <v>21</v>
      </c>
      <c r="E165">
        <v>19</v>
      </c>
      <c r="F165">
        <v>47</v>
      </c>
      <c r="G165">
        <f t="shared" si="5"/>
        <v>893</v>
      </c>
    </row>
    <row r="166" spans="1:7">
      <c r="A166" s="6">
        <v>45680</v>
      </c>
      <c r="B166" t="s">
        <v>5</v>
      </c>
      <c r="C166" t="s">
        <v>9</v>
      </c>
      <c r="D166" t="s">
        <v>22</v>
      </c>
      <c r="E166">
        <v>2</v>
      </c>
      <c r="F166">
        <v>44</v>
      </c>
      <c r="G166">
        <f t="shared" si="5"/>
        <v>88</v>
      </c>
    </row>
    <row r="167" spans="1:7">
      <c r="A167" s="6">
        <v>45672</v>
      </c>
      <c r="B167" t="s">
        <v>2</v>
      </c>
      <c r="C167" t="s">
        <v>10</v>
      </c>
      <c r="D167" t="s">
        <v>22</v>
      </c>
      <c r="E167">
        <v>6</v>
      </c>
      <c r="F167">
        <v>58</v>
      </c>
      <c r="G167">
        <f t="shared" si="5"/>
        <v>348</v>
      </c>
    </row>
    <row r="168" spans="1:7">
      <c r="A168" s="6">
        <v>45700</v>
      </c>
      <c r="B168" t="s">
        <v>2</v>
      </c>
      <c r="C168" t="s">
        <v>9</v>
      </c>
      <c r="D168" t="s">
        <v>21</v>
      </c>
      <c r="E168">
        <v>1</v>
      </c>
      <c r="F168">
        <v>78</v>
      </c>
      <c r="G168">
        <f t="shared" si="5"/>
        <v>78</v>
      </c>
    </row>
    <row r="169" spans="1:7">
      <c r="A169" s="6">
        <v>45686</v>
      </c>
      <c r="B169" t="s">
        <v>5</v>
      </c>
      <c r="C169" t="s">
        <v>10</v>
      </c>
      <c r="D169" t="s">
        <v>20</v>
      </c>
      <c r="E169">
        <v>15</v>
      </c>
      <c r="F169">
        <v>71</v>
      </c>
      <c r="G169">
        <f t="shared" si="5"/>
        <v>1065</v>
      </c>
    </row>
    <row r="170" spans="1:7">
      <c r="A170" s="6">
        <v>45693</v>
      </c>
      <c r="B170" t="s">
        <v>2</v>
      </c>
      <c r="C170" t="s">
        <v>8</v>
      </c>
      <c r="D170" t="s">
        <v>21</v>
      </c>
      <c r="E170">
        <v>10</v>
      </c>
      <c r="F170">
        <v>69</v>
      </c>
      <c r="G170">
        <f t="shared" si="5"/>
        <v>690</v>
      </c>
    </row>
    <row r="171" spans="1:7">
      <c r="A171" s="6">
        <v>45670</v>
      </c>
      <c r="B171" t="s">
        <v>5</v>
      </c>
      <c r="C171" t="s">
        <v>8</v>
      </c>
      <c r="D171" t="s">
        <v>22</v>
      </c>
      <c r="E171">
        <v>19</v>
      </c>
      <c r="F171">
        <v>59</v>
      </c>
      <c r="G171">
        <f t="shared" si="5"/>
        <v>1121</v>
      </c>
    </row>
    <row r="172" spans="1:7">
      <c r="A172" s="6">
        <v>45689</v>
      </c>
      <c r="B172" t="s">
        <v>2</v>
      </c>
      <c r="C172" t="s">
        <v>9</v>
      </c>
      <c r="D172" t="s">
        <v>19</v>
      </c>
      <c r="E172">
        <v>17</v>
      </c>
      <c r="F172">
        <v>87</v>
      </c>
      <c r="G172" s="5">
        <f t="shared" si="5"/>
        <v>1479</v>
      </c>
    </row>
    <row r="173" spans="1:7">
      <c r="A173" s="6">
        <v>45728</v>
      </c>
      <c r="B173" t="s">
        <v>3</v>
      </c>
      <c r="C173" t="s">
        <v>11</v>
      </c>
      <c r="D173" t="s">
        <v>19</v>
      </c>
      <c r="E173">
        <v>5</v>
      </c>
      <c r="F173">
        <v>84</v>
      </c>
      <c r="G173">
        <f t="shared" si="5"/>
        <v>420</v>
      </c>
    </row>
    <row r="174" spans="1:7">
      <c r="A174" s="6">
        <v>45716</v>
      </c>
      <c r="B174" t="s">
        <v>2</v>
      </c>
      <c r="C174" t="s">
        <v>9</v>
      </c>
      <c r="D174" t="s">
        <v>21</v>
      </c>
      <c r="E174">
        <v>4</v>
      </c>
      <c r="F174">
        <v>18</v>
      </c>
      <c r="G174">
        <f t="shared" si="5"/>
        <v>72</v>
      </c>
    </row>
    <row r="175" spans="1:7">
      <c r="A175" s="6">
        <v>45743</v>
      </c>
      <c r="B175" t="s">
        <v>5</v>
      </c>
      <c r="C175" t="s">
        <v>9</v>
      </c>
      <c r="D175" t="s">
        <v>22</v>
      </c>
      <c r="E175">
        <v>10</v>
      </c>
      <c r="F175">
        <v>43</v>
      </c>
      <c r="G175">
        <f t="shared" si="5"/>
        <v>430</v>
      </c>
    </row>
    <row r="176" spans="1:7">
      <c r="A176" s="6">
        <v>45685</v>
      </c>
      <c r="B176" t="s">
        <v>5</v>
      </c>
      <c r="C176" t="s">
        <v>10</v>
      </c>
      <c r="D176" t="s">
        <v>19</v>
      </c>
      <c r="E176">
        <v>17</v>
      </c>
      <c r="F176">
        <v>85</v>
      </c>
      <c r="G176">
        <f t="shared" si="5"/>
        <v>1445</v>
      </c>
    </row>
    <row r="177" spans="1:7">
      <c r="A177" s="6">
        <v>45723</v>
      </c>
      <c r="B177" t="s">
        <v>5</v>
      </c>
      <c r="C177" t="s">
        <v>10</v>
      </c>
      <c r="D177" t="s">
        <v>22</v>
      </c>
      <c r="E177">
        <v>10</v>
      </c>
      <c r="F177">
        <v>44</v>
      </c>
      <c r="G177">
        <f t="shared" si="5"/>
        <v>440</v>
      </c>
    </row>
    <row r="178" spans="1:7">
      <c r="A178" s="6">
        <v>45699</v>
      </c>
      <c r="B178" t="s">
        <v>5</v>
      </c>
      <c r="C178" t="s">
        <v>9</v>
      </c>
      <c r="D178" t="s">
        <v>21</v>
      </c>
      <c r="E178">
        <v>17</v>
      </c>
      <c r="F178">
        <v>10</v>
      </c>
      <c r="G178">
        <f t="shared" si="5"/>
        <v>170</v>
      </c>
    </row>
    <row r="179" spans="1:7">
      <c r="A179" s="6">
        <v>45702</v>
      </c>
      <c r="B179" t="s">
        <v>5</v>
      </c>
      <c r="C179" t="s">
        <v>8</v>
      </c>
      <c r="D179" t="s">
        <v>19</v>
      </c>
      <c r="E179">
        <v>5</v>
      </c>
      <c r="F179">
        <v>49</v>
      </c>
      <c r="G179">
        <f t="shared" si="5"/>
        <v>245</v>
      </c>
    </row>
    <row r="180" spans="1:7">
      <c r="A180" s="6">
        <v>45719</v>
      </c>
      <c r="B180" t="s">
        <v>4</v>
      </c>
      <c r="C180" t="s">
        <v>10</v>
      </c>
      <c r="D180" t="s">
        <v>22</v>
      </c>
      <c r="E180">
        <v>2</v>
      </c>
      <c r="F180">
        <v>73</v>
      </c>
      <c r="G180">
        <f t="shared" ref="G180:G201" si="6">E180*F180</f>
        <v>146</v>
      </c>
    </row>
    <row r="181" spans="1:7">
      <c r="A181" s="6">
        <v>45714</v>
      </c>
      <c r="B181" t="s">
        <v>4</v>
      </c>
      <c r="C181" t="s">
        <v>11</v>
      </c>
      <c r="D181" t="s">
        <v>19</v>
      </c>
      <c r="E181">
        <v>6</v>
      </c>
      <c r="F181">
        <v>31</v>
      </c>
      <c r="G181">
        <f t="shared" si="6"/>
        <v>186</v>
      </c>
    </row>
    <row r="182" spans="1:7">
      <c r="A182" s="6">
        <v>45663</v>
      </c>
      <c r="B182" t="s">
        <v>2</v>
      </c>
      <c r="C182" t="s">
        <v>10</v>
      </c>
      <c r="D182" t="s">
        <v>21</v>
      </c>
      <c r="E182">
        <v>2</v>
      </c>
      <c r="F182">
        <v>69</v>
      </c>
      <c r="G182">
        <f t="shared" si="6"/>
        <v>138</v>
      </c>
    </row>
    <row r="183" spans="1:7">
      <c r="A183" s="6">
        <v>45685</v>
      </c>
      <c r="B183" t="s">
        <v>5</v>
      </c>
      <c r="C183" t="s">
        <v>10</v>
      </c>
      <c r="D183" t="s">
        <v>22</v>
      </c>
      <c r="E183">
        <v>13</v>
      </c>
      <c r="F183">
        <v>73</v>
      </c>
      <c r="G183">
        <f t="shared" si="6"/>
        <v>949</v>
      </c>
    </row>
    <row r="184" spans="1:7">
      <c r="A184" s="6">
        <v>45685</v>
      </c>
      <c r="B184" t="s">
        <v>2</v>
      </c>
      <c r="C184" t="s">
        <v>11</v>
      </c>
      <c r="D184" t="s">
        <v>19</v>
      </c>
      <c r="E184">
        <v>11</v>
      </c>
      <c r="F184">
        <v>81</v>
      </c>
      <c r="G184">
        <f t="shared" si="6"/>
        <v>891</v>
      </c>
    </row>
    <row r="185" spans="1:7">
      <c r="A185" s="6">
        <v>45701</v>
      </c>
      <c r="B185" t="s">
        <v>5</v>
      </c>
      <c r="C185" t="s">
        <v>9</v>
      </c>
      <c r="D185" t="s">
        <v>21</v>
      </c>
      <c r="E185">
        <v>11</v>
      </c>
      <c r="F185">
        <v>20</v>
      </c>
      <c r="G185">
        <f t="shared" si="6"/>
        <v>220</v>
      </c>
    </row>
    <row r="186" spans="1:7">
      <c r="A186" s="6">
        <v>45741</v>
      </c>
      <c r="B186" t="s">
        <v>5</v>
      </c>
      <c r="C186" t="s">
        <v>11</v>
      </c>
      <c r="D186" t="s">
        <v>19</v>
      </c>
      <c r="E186">
        <v>16</v>
      </c>
      <c r="F186">
        <v>23</v>
      </c>
      <c r="G186">
        <f t="shared" si="6"/>
        <v>368</v>
      </c>
    </row>
    <row r="187" spans="1:7">
      <c r="A187" s="6">
        <v>45687</v>
      </c>
      <c r="B187" t="s">
        <v>4</v>
      </c>
      <c r="C187" t="s">
        <v>9</v>
      </c>
      <c r="D187" t="s">
        <v>19</v>
      </c>
      <c r="E187">
        <v>11</v>
      </c>
      <c r="F187">
        <v>69</v>
      </c>
      <c r="G187" s="5">
        <f t="shared" si="6"/>
        <v>759</v>
      </c>
    </row>
    <row r="188" spans="1:7">
      <c r="A188" s="6">
        <v>45719</v>
      </c>
      <c r="B188" t="s">
        <v>4</v>
      </c>
      <c r="C188" t="s">
        <v>9</v>
      </c>
      <c r="D188" t="s">
        <v>20</v>
      </c>
      <c r="E188">
        <v>19</v>
      </c>
      <c r="F188">
        <v>39</v>
      </c>
      <c r="G188">
        <f t="shared" si="6"/>
        <v>741</v>
      </c>
    </row>
    <row r="189" spans="1:7">
      <c r="A189" s="6">
        <v>45732</v>
      </c>
      <c r="B189" t="s">
        <v>3</v>
      </c>
      <c r="C189" t="s">
        <v>9</v>
      </c>
      <c r="D189" t="s">
        <v>20</v>
      </c>
      <c r="E189">
        <v>15</v>
      </c>
      <c r="F189">
        <v>44</v>
      </c>
      <c r="G189">
        <f t="shared" si="6"/>
        <v>660</v>
      </c>
    </row>
    <row r="190" spans="1:7">
      <c r="A190" s="6">
        <v>45749</v>
      </c>
      <c r="B190" t="s">
        <v>4</v>
      </c>
      <c r="C190" t="s">
        <v>11</v>
      </c>
      <c r="D190" t="s">
        <v>21</v>
      </c>
      <c r="E190">
        <v>16</v>
      </c>
      <c r="F190">
        <v>94</v>
      </c>
      <c r="G190">
        <f t="shared" si="6"/>
        <v>1504</v>
      </c>
    </row>
    <row r="191" spans="1:7">
      <c r="A191" s="6">
        <v>45746</v>
      </c>
      <c r="B191" t="s">
        <v>3</v>
      </c>
      <c r="C191" t="s">
        <v>9</v>
      </c>
      <c r="D191" t="s">
        <v>20</v>
      </c>
      <c r="E191">
        <v>11</v>
      </c>
      <c r="F191">
        <v>46</v>
      </c>
      <c r="G191">
        <f t="shared" si="6"/>
        <v>506</v>
      </c>
    </row>
    <row r="192" spans="1:7">
      <c r="A192" s="6">
        <v>45719</v>
      </c>
      <c r="B192" t="s">
        <v>3</v>
      </c>
      <c r="C192" t="s">
        <v>8</v>
      </c>
      <c r="D192" t="s">
        <v>21</v>
      </c>
      <c r="E192">
        <v>16</v>
      </c>
      <c r="F192">
        <v>14</v>
      </c>
      <c r="G192">
        <f t="shared" si="6"/>
        <v>224</v>
      </c>
    </row>
    <row r="193" spans="1:7">
      <c r="A193" s="6">
        <v>45754</v>
      </c>
      <c r="B193" t="s">
        <v>3</v>
      </c>
      <c r="C193" t="s">
        <v>11</v>
      </c>
      <c r="D193" t="s">
        <v>20</v>
      </c>
      <c r="E193">
        <v>8</v>
      </c>
      <c r="F193">
        <v>92</v>
      </c>
      <c r="G193">
        <f t="shared" si="6"/>
        <v>736</v>
      </c>
    </row>
    <row r="194" spans="1:7">
      <c r="A194" s="6">
        <v>45658</v>
      </c>
      <c r="B194" t="s">
        <v>3</v>
      </c>
      <c r="C194" t="s">
        <v>8</v>
      </c>
      <c r="D194" t="s">
        <v>19</v>
      </c>
      <c r="E194">
        <v>4</v>
      </c>
      <c r="F194">
        <v>87</v>
      </c>
      <c r="G194">
        <f t="shared" si="6"/>
        <v>348</v>
      </c>
    </row>
    <row r="195" spans="1:7">
      <c r="A195" s="6">
        <v>45684</v>
      </c>
      <c r="B195" t="s">
        <v>3</v>
      </c>
      <c r="C195" t="s">
        <v>9</v>
      </c>
      <c r="D195" t="s">
        <v>21</v>
      </c>
      <c r="E195">
        <v>8</v>
      </c>
      <c r="F195">
        <v>35</v>
      </c>
      <c r="G195">
        <f t="shared" si="6"/>
        <v>280</v>
      </c>
    </row>
    <row r="196" spans="1:7">
      <c r="A196" s="6">
        <v>45719</v>
      </c>
      <c r="B196" t="s">
        <v>2</v>
      </c>
      <c r="C196" t="s">
        <v>10</v>
      </c>
      <c r="D196" t="s">
        <v>21</v>
      </c>
      <c r="E196">
        <v>4</v>
      </c>
      <c r="F196">
        <v>71</v>
      </c>
      <c r="G196">
        <f t="shared" si="6"/>
        <v>284</v>
      </c>
    </row>
    <row r="197" spans="1:7">
      <c r="A197" s="6">
        <v>45734</v>
      </c>
      <c r="B197" t="s">
        <v>4</v>
      </c>
      <c r="C197" t="s">
        <v>9</v>
      </c>
      <c r="D197" t="s">
        <v>19</v>
      </c>
      <c r="E197">
        <v>3</v>
      </c>
      <c r="F197">
        <v>13</v>
      </c>
      <c r="G197">
        <f t="shared" si="6"/>
        <v>39</v>
      </c>
    </row>
    <row r="198" spans="1:7">
      <c r="A198" s="6">
        <v>45660</v>
      </c>
      <c r="B198" t="s">
        <v>3</v>
      </c>
      <c r="C198" t="s">
        <v>8</v>
      </c>
      <c r="D198" t="s">
        <v>21</v>
      </c>
      <c r="E198">
        <v>3</v>
      </c>
      <c r="F198">
        <v>98</v>
      </c>
      <c r="G198">
        <f t="shared" si="6"/>
        <v>294</v>
      </c>
    </row>
    <row r="199" spans="1:7">
      <c r="A199" s="6">
        <v>45727</v>
      </c>
      <c r="B199" t="s">
        <v>5</v>
      </c>
      <c r="C199" t="s">
        <v>8</v>
      </c>
      <c r="D199" t="s">
        <v>21</v>
      </c>
      <c r="E199">
        <v>18</v>
      </c>
      <c r="F199">
        <v>51</v>
      </c>
      <c r="G199">
        <f t="shared" si="6"/>
        <v>918</v>
      </c>
    </row>
    <row r="200" spans="1:7">
      <c r="A200" s="6">
        <v>45729</v>
      </c>
      <c r="B200" t="s">
        <v>4</v>
      </c>
      <c r="C200" t="s">
        <v>11</v>
      </c>
      <c r="D200" t="s">
        <v>20</v>
      </c>
      <c r="E200">
        <v>19</v>
      </c>
      <c r="F200">
        <v>98</v>
      </c>
      <c r="G200">
        <f t="shared" si="6"/>
        <v>1862</v>
      </c>
    </row>
    <row r="201" spans="1:7">
      <c r="A201" s="6">
        <v>45684</v>
      </c>
      <c r="B201" t="s">
        <v>4</v>
      </c>
      <c r="C201" t="s">
        <v>10</v>
      </c>
      <c r="D201" t="s">
        <v>21</v>
      </c>
      <c r="E201">
        <v>19</v>
      </c>
      <c r="F201">
        <v>27</v>
      </c>
      <c r="G201">
        <f t="shared" si="6"/>
        <v>513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28"/>
  <sheetViews>
    <sheetView tabSelected="1" workbookViewId="0">
      <selection activeCell="P4" sqref="P4"/>
    </sheetView>
  </sheetViews>
  <sheetFormatPr defaultColWidth="8.88888888888889" defaultRowHeight="14.4"/>
  <cols>
    <col min="2" max="2" width="11.6666666666667"/>
    <col min="3" max="3" width="16.1111111111111"/>
    <col min="5" max="5" width="14.7777777777778" customWidth="1"/>
    <col min="8" max="8" width="11.6666666666667"/>
    <col min="9" max="9" width="16.1111111111111"/>
    <col min="10" max="10" width="17.3333333333333" customWidth="1"/>
    <col min="12" max="12" width="13.1111111111111" customWidth="1"/>
    <col min="13" max="13" width="11.2222222222222" customWidth="1"/>
    <col min="14" max="14" width="10" customWidth="1"/>
    <col min="15" max="15" width="14.7777777777778" customWidth="1"/>
  </cols>
  <sheetData>
    <row r="1" spans="12:15">
      <c r="L1" s="1" t="s">
        <v>26</v>
      </c>
      <c r="M1" s="1" t="s">
        <v>27</v>
      </c>
      <c r="N1" s="1" t="s">
        <v>28</v>
      </c>
      <c r="O1" s="1" t="s">
        <v>29</v>
      </c>
    </row>
    <row r="2" spans="2:15">
      <c r="B2" t="s">
        <v>0</v>
      </c>
      <c r="C2" t="s">
        <v>1</v>
      </c>
      <c r="H2" t="s">
        <v>7</v>
      </c>
      <c r="I2" t="s">
        <v>1</v>
      </c>
      <c r="L2" s="2">
        <f>SUM(Sheet5!G2:G201)</f>
        <v>103846</v>
      </c>
      <c r="M2" s="3">
        <f>MAX(C3:C6)</f>
        <v>30715</v>
      </c>
      <c r="N2" s="4">
        <f>MAX(I3:I6)</f>
        <v>28547</v>
      </c>
      <c r="O2" s="4">
        <f>MAX(H24:J27)</f>
        <v>28753</v>
      </c>
    </row>
    <row r="3" spans="2:12">
      <c r="B3" t="s">
        <v>2</v>
      </c>
      <c r="C3">
        <v>23750</v>
      </c>
      <c r="H3" t="s">
        <v>11</v>
      </c>
      <c r="I3">
        <v>28547</v>
      </c>
      <c r="L3" s="5"/>
    </row>
    <row r="4" spans="2:9">
      <c r="B4" t="s">
        <v>3</v>
      </c>
      <c r="C4">
        <v>21059</v>
      </c>
      <c r="H4" t="s">
        <v>10</v>
      </c>
      <c r="I4">
        <v>25733</v>
      </c>
    </row>
    <row r="5" spans="2:12">
      <c r="B5" t="s">
        <v>4</v>
      </c>
      <c r="C5">
        <v>28322</v>
      </c>
      <c r="H5" t="s">
        <v>9</v>
      </c>
      <c r="I5">
        <v>24532</v>
      </c>
      <c r="L5" s="5"/>
    </row>
    <row r="6" spans="2:9">
      <c r="B6" t="s">
        <v>5</v>
      </c>
      <c r="C6">
        <v>30715</v>
      </c>
      <c r="H6" t="s">
        <v>8</v>
      </c>
      <c r="I6">
        <v>25034</v>
      </c>
    </row>
    <row r="7" spans="2:9">
      <c r="B7" t="s">
        <v>6</v>
      </c>
      <c r="C7">
        <v>103846</v>
      </c>
      <c r="H7" t="s">
        <v>6</v>
      </c>
      <c r="I7">
        <v>103846</v>
      </c>
    </row>
    <row r="23" spans="2:10">
      <c r="B23" t="s">
        <v>12</v>
      </c>
      <c r="C23" t="s">
        <v>1</v>
      </c>
      <c r="H23" t="s">
        <v>17</v>
      </c>
      <c r="I23" t="s">
        <v>1</v>
      </c>
      <c r="J23" t="s">
        <v>18</v>
      </c>
    </row>
    <row r="24" spans="2:10">
      <c r="B24" t="s">
        <v>13</v>
      </c>
      <c r="C24">
        <v>28980</v>
      </c>
      <c r="H24" t="s">
        <v>19</v>
      </c>
      <c r="I24">
        <v>28753</v>
      </c>
      <c r="J24">
        <v>535</v>
      </c>
    </row>
    <row r="25" spans="2:10">
      <c r="B25" t="s">
        <v>14</v>
      </c>
      <c r="C25">
        <v>22498</v>
      </c>
      <c r="H25" t="s">
        <v>20</v>
      </c>
      <c r="I25">
        <v>25339</v>
      </c>
      <c r="J25">
        <v>504</v>
      </c>
    </row>
    <row r="26" spans="2:10">
      <c r="B26" t="s">
        <v>15</v>
      </c>
      <c r="C26">
        <v>42050</v>
      </c>
      <c r="H26" t="s">
        <v>21</v>
      </c>
      <c r="I26">
        <v>22797</v>
      </c>
      <c r="J26">
        <v>462</v>
      </c>
    </row>
    <row r="27" spans="2:10">
      <c r="B27" t="s">
        <v>16</v>
      </c>
      <c r="C27">
        <v>10318</v>
      </c>
      <c r="H27" t="s">
        <v>22</v>
      </c>
      <c r="I27">
        <v>26957</v>
      </c>
      <c r="J27">
        <v>505</v>
      </c>
    </row>
    <row r="28" spans="2:10">
      <c r="B28" t="s">
        <v>6</v>
      </c>
      <c r="C28">
        <v>103846</v>
      </c>
      <c r="H28" t="s">
        <v>6</v>
      </c>
      <c r="I28">
        <v>103846</v>
      </c>
      <c r="J28">
        <v>2006</v>
      </c>
    </row>
  </sheetData>
  <pageMargins left="0.75" right="0.75" top="1" bottom="1" header="0.5" footer="0.5"/>
  <headerFooter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saint</cp:lastModifiedBy>
  <dcterms:created xsi:type="dcterms:W3CDTF">2025-11-21T13:23:29Z</dcterms:created>
  <dcterms:modified xsi:type="dcterms:W3CDTF">2025-11-22T15:38:58Z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63F9F67463E14CD5A17CFF9FC6271F6D_13</vt:lpwstr>
  </property>
  <property fmtid="{D5CDD505-2E9C-101B-9397-08002B2CF9AE}" pid="3" name="KSOProductBuildVer">
    <vt:lpwstr>1033-12.2.0.23155</vt:lpwstr>
  </property>
</Properties>
</file>