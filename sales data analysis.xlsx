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/>
  </bookViews>
  <sheets>
    <sheet name="Dashboard" sheetId="6" r:id="rId1"/>
  </sheets>
  <calcPr calcId="191029"/>
  <pivotCaches>
    <pivotCache cacheId="0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<sst xmlns="http://schemas.openxmlformats.org/spreadsheetml/2006/main" count="33" uniqueCount="27">
  <si>
    <t>Total Revenue</t>
  </si>
  <si>
    <t>Top Product</t>
  </si>
  <si>
    <t>Top Region</t>
  </si>
  <si>
    <t>Top Salesperson</t>
  </si>
  <si>
    <t>Product</t>
  </si>
  <si>
    <t>Sum of Revenue</t>
  </si>
  <si>
    <t>Region</t>
  </si>
  <si>
    <t>Product A</t>
  </si>
  <si>
    <t>West</t>
  </si>
  <si>
    <t>Product B</t>
  </si>
  <si>
    <t>South</t>
  </si>
  <si>
    <t>Product C</t>
  </si>
  <si>
    <t>North</t>
  </si>
  <si>
    <t>Product D</t>
  </si>
  <si>
    <t>East</t>
  </si>
  <si>
    <t>Grand Total</t>
  </si>
  <si>
    <t>Date</t>
  </si>
  <si>
    <t>Salesperson</t>
  </si>
  <si>
    <t>Sum of Units Sold</t>
  </si>
  <si>
    <t>Jan</t>
  </si>
  <si>
    <t>Alice</t>
  </si>
  <si>
    <t>Feb</t>
  </si>
  <si>
    <t>Bob</t>
  </si>
  <si>
    <t>Mar</t>
  </si>
  <si>
    <t>Charlie</t>
  </si>
  <si>
    <t>Apr</t>
  </si>
  <si>
    <t>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</si>
</sst>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vertical="center" wrapText="1"/>
    </xf>
    <xf numFmtId="0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Column</a:t>
            </a:r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 Chart</a:t>
            </a:r>
          </a:p>
        </c:rich>
      </c:tx>
      <c:layout/>
      <c:overlay val="0"/>
      <c:spPr>
        <a:solidFill>
          <a:schemeClr val="accent4"/>
        </a:solidFill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{"Product A","Product B","Product C","Product D"}</c:f>
              <c:strCache>
                <c:ptCount val="4"/>
                <c:pt idx="0">
                  <c:v>Product A</c:v>
                </c:pt>
                <c:pt idx="1">
                  <c:v>Product B</c:v>
                </c:pt>
                <c:pt idx="2">
                  <c:v>Product C</c:v>
                </c:pt>
                <c:pt idx="3">
                  <c:v>Product D</c:v>
                </c:pt>
              </c:strCache>
            </c:strRef>
          </c:cat>
          <c:val>
            <c:numRef>
              <c:f>{23750,21059,28322,30715}</c:f>
              <c:numCache>
                <c:formatCode>General</c:formatCode>
                <c:ptCount val="4"/>
                <c:pt idx="0">
                  <c:v>23750</c:v>
                </c:pt>
                <c:pt idx="1">
                  <c:v>21059</c:v>
                </c:pt>
                <c:pt idx="2">
                  <c:v>28322</c:v>
                </c:pt>
                <c:pt idx="3">
                  <c:v>30715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367403080"/>
        <c:axId val="348403154"/>
      </c:barChart>
      <c:catAx>
        <c:axId val="367403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48403154"/>
        <c:crosses val="autoZero"/>
        <c:auto val="1"/>
        <c:lblAlgn val="ctr"/>
        <c:lblOffset val="100"/>
        <c:noMultiLvlLbl val="0"/>
      </c:catAx>
      <c:valAx>
        <c:axId val="34840315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403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c6d7f2-36b0-4bca-ad5d-66dfd8537bdf}"/>
      </c:ext>
    </c:extLst>
  </c:chart>
  <c:spPr>
    <a:solidFill>
      <a:schemeClr val="bg1"/>
    </a:solidFill>
    <a:ln w="28575" cap="flat" cmpd="thickThin" algn="ctr">
      <a:solidFill>
        <a:schemeClr val="accent1"/>
      </a:solidFill>
      <a:prstDash val="solid"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Pie Chart</a:t>
            </a:r>
          </a:p>
        </c:rich>
      </c:tx>
      <c:layout/>
      <c:overlay val="0"/>
      <c:spPr>
        <a:solidFill>
          <a:schemeClr val="accent1">
            <a:lumMod val="40000"/>
            <a:lumOff val="60000"/>
          </a:schemeClr>
        </a:solidFill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{"East","North","South","West"}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{25034,24532,25733,28547}</c:f>
              <c:numCache>
                <c:formatCode>General</c:formatCode>
                <c:ptCount val="4"/>
                <c:pt idx="0">
                  <c:v>25034</c:v>
                </c:pt>
                <c:pt idx="1">
                  <c:v>24532</c:v>
                </c:pt>
                <c:pt idx="2">
                  <c:v>25733</c:v>
                </c:pt>
                <c:pt idx="3">
                  <c:v>28547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c39c7d5-2064-4380-a3a4-01bfc7f1c3d7}"/>
      </c:ext>
    </c:extLst>
  </c:chart>
  <c:spPr>
    <a:solidFill>
      <a:schemeClr val="bg1"/>
    </a:solidFill>
    <a:ln w="28575" cap="flat" cmpd="dbl" algn="ctr">
      <a:solidFill>
        <a:schemeClr val="accent1"/>
      </a:solidFill>
      <a:prstDash val="solid"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Line Chart</a:t>
            </a:r>
          </a:p>
        </c:rich>
      </c:tx>
      <c:layout>
        <c:manualLayout>
          <c:xMode val="edge"/>
          <c:yMode val="edge"/>
          <c:x val="0.430412371134021"/>
          <c:y val="0.122023808459441"/>
        </c:manualLayout>
      </c:layout>
      <c:overlay val="0"/>
      <c:spPr>
        <a:solidFill>
          <a:schemeClr val="accent5">
            <a:lumMod val="40000"/>
            <a:lumOff val="60000"/>
          </a:schemeClr>
        </a:solidFill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{"Jan","Feb","Mar","Apr"}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{28980,22498,42050,10318}</c:f>
              <c:numCache>
                <c:formatCode>General</c:formatCode>
                <c:ptCount val="4"/>
                <c:pt idx="0">
                  <c:v>28980</c:v>
                </c:pt>
                <c:pt idx="1">
                  <c:v>22498</c:v>
                </c:pt>
                <c:pt idx="2">
                  <c:v>42050</c:v>
                </c:pt>
                <c:pt idx="3">
                  <c:v>10318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338701511"/>
        <c:axId val="167262602"/>
      </c:lineChart>
      <c:catAx>
        <c:axId val="338701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7262602"/>
        <c:crosses val="autoZero"/>
        <c:auto val="1"/>
        <c:lblAlgn val="ctr"/>
        <c:lblOffset val="100"/>
        <c:noMultiLvlLbl val="0"/>
      </c:catAx>
      <c:valAx>
        <c:axId val="16726260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0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870151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42d6ffb-52e8-42c2-bec6-0641d2514750}"/>
      </c:ext>
    </c:extLst>
  </c:chart>
  <c:spPr>
    <a:solidFill>
      <a:schemeClr val="bg1"/>
    </a:solidFill>
    <a:ln w="28575" cap="flat" cmpd="thickThin" algn="ctr">
      <a:solidFill>
        <a:schemeClr val="accent1"/>
      </a:solidFill>
      <a:prstDash val="solid"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"Sum of Revenue"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{"Alice","Bob","Charlie","Diana"}</c:f>
              <c:strCache>
                <c:ptCount val="4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Diana</c:v>
                </c:pt>
              </c:strCache>
            </c:strRef>
          </c:cat>
          <c:val>
            <c:numRef>
              <c:f>{28753,25339,22797,26957}</c:f>
              <c:numCache>
                <c:formatCode>General</c:formatCode>
                <c:ptCount val="4"/>
                <c:pt idx="0">
                  <c:v>28753</c:v>
                </c:pt>
                <c:pt idx="1">
                  <c:v>25339</c:v>
                </c:pt>
                <c:pt idx="2">
                  <c:v>22797</c:v>
                </c:pt>
                <c:pt idx="3">
                  <c:v>26957</c:v>
                </c:pt>
              </c:numCache>
            </c:numRef>
          </c:val>
        </c:ser>
        <c:ser>
          <c:idx val="1"/>
          <c:order val="1"/>
          <c:tx>
            <c:strRef>
              <c:f>"Sum of Units Sold"</c:f>
              <c:strCache>
                <c:ptCount val="1"/>
                <c:pt idx="0">
                  <c:v>Sum of Units Sold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{"Alice","Bob","Charlie","Diana"}</c:f>
              <c:strCache>
                <c:ptCount val="4"/>
                <c:pt idx="0">
                  <c:v>Alice</c:v>
                </c:pt>
                <c:pt idx="1">
                  <c:v>Bob</c:v>
                </c:pt>
                <c:pt idx="2">
                  <c:v>Charlie</c:v>
                </c:pt>
                <c:pt idx="3">
                  <c:v>Diana</c:v>
                </c:pt>
              </c:strCache>
            </c:strRef>
          </c:cat>
          <c:val>
            <c:numRef>
              <c:f>{535,504,462,505}</c:f>
              <c:numCache>
                <c:formatCode>General</c:formatCode>
                <c:ptCount val="4"/>
                <c:pt idx="0">
                  <c:v>535</c:v>
                </c:pt>
                <c:pt idx="1">
                  <c:v>504</c:v>
                </c:pt>
                <c:pt idx="2">
                  <c:v>462</c:v>
                </c:pt>
                <c:pt idx="3">
                  <c:v>505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473603847"/>
        <c:axId val="198276524"/>
      </c:barChart>
      <c:catAx>
        <c:axId val="473603847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98276524"/>
        <c:crosses val="autoZero"/>
        <c:auto val="1"/>
        <c:lblAlgn val="ctr"/>
        <c:lblOffset val="100"/>
        <c:noMultiLvlLbl val="0"/>
      </c:catAx>
      <c:valAx>
        <c:axId val="1982765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73603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bc897ed-7d97-4bdd-881f-35c694ae62b9}"/>
      </c:ext>
    </c:extLst>
  </c:chart>
  <c:spPr>
    <a:noFill/>
    <a:ln w="28575" cap="flat" cmpd="thickThin" algn="ctr">
      <a:solidFill>
        <a:schemeClr val="accent1"/>
      </a:solidFill>
      <a:prstDash val="solid"/>
      <a:miter lim="800000"/>
    </a:ln>
    <a:effectLst/>
    <a:sp3d>
      <a:extrusionClr>
        <a:srgbClr val="FFFFFF"/>
      </a:extrusionClr>
      <a:contourClr>
        <a:srgbClr val="FFFFFF"/>
      </a:contourClr>
    </a:sp3d>
  </c:spPr>
  <c:txPr>
    <a:bodyPr/>
    <a:lstStyle/>
    <a:p>
      <a:pPr>
        <a:defRPr lang="en-US">
          <a:solidFill>
            <a:schemeClr val="tx1"/>
          </a:solidFill>
          <a:latin typeface="+mn-lt"/>
          <a:ea typeface="+mn-ea"/>
          <a:cs typeface="+mn-cs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259080</xdr:colOff>
      <xdr:row>7</xdr:row>
      <xdr:rowOff>106680</xdr:rowOff>
    </xdr:from>
    <xdr:to>
      <xdr:col>4</xdr:col>
      <xdr:colOff>467360</xdr:colOff>
      <xdr:row>21</xdr:row>
      <xdr:rowOff>15875</xdr:rowOff>
    </xdr:to>
    <xdr:graphicFrame>
      <xdr:nvGraphicFramePr>
        <xdr:cNvPr id="2" name="Chart 1"/>
        <xdr:cNvGraphicFramePr/>
      </xdr:nvGraphicFramePr>
      <xdr:xfrm>
        <a:off x="259080" y="1386840"/>
        <a:ext cx="3332480" cy="24695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373380</xdr:colOff>
      <xdr:row>7</xdr:row>
      <xdr:rowOff>99060</xdr:rowOff>
    </xdr:from>
    <xdr:to>
      <xdr:col>10</xdr:col>
      <xdr:colOff>247015</xdr:colOff>
      <xdr:row>21</xdr:row>
      <xdr:rowOff>7620</xdr:rowOff>
    </xdr:to>
    <xdr:graphicFrame>
      <xdr:nvGraphicFramePr>
        <xdr:cNvPr id="3" name="Chart 2"/>
        <xdr:cNvGraphicFramePr/>
      </xdr:nvGraphicFramePr>
      <xdr:xfrm>
        <a:off x="5120640" y="1379220"/>
        <a:ext cx="3576955" cy="246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130175</xdr:colOff>
      <xdr:row>29</xdr:row>
      <xdr:rowOff>175260</xdr:rowOff>
    </xdr:from>
    <xdr:to>
      <xdr:col>4</xdr:col>
      <xdr:colOff>483235</xdr:colOff>
      <xdr:row>43</xdr:row>
      <xdr:rowOff>175260</xdr:rowOff>
    </xdr:to>
    <xdr:graphicFrame>
      <xdr:nvGraphicFramePr>
        <xdr:cNvPr id="4" name="Chart 3"/>
        <xdr:cNvGraphicFramePr/>
      </xdr:nvGraphicFramePr>
      <xdr:xfrm>
        <a:off x="130175" y="5478780"/>
        <a:ext cx="3477260" cy="256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175260</xdr:colOff>
      <xdr:row>29</xdr:row>
      <xdr:rowOff>175260</xdr:rowOff>
    </xdr:from>
    <xdr:to>
      <xdr:col>11</xdr:col>
      <xdr:colOff>70485</xdr:colOff>
      <xdr:row>44</xdr:row>
      <xdr:rowOff>37465</xdr:rowOff>
    </xdr:to>
    <xdr:graphicFrame>
      <xdr:nvGraphicFramePr>
        <xdr:cNvPr id="5" name="Chart 4"/>
        <xdr:cNvGraphicFramePr/>
      </xdr:nvGraphicFramePr>
      <xdr:xfrm>
        <a:off x="4312920" y="5478780"/>
        <a:ext cx="4817745" cy="26054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3</xdr:col>
      <xdr:colOff>487680</xdr:colOff>
      <xdr:row>0</xdr:row>
      <xdr:rowOff>7620</xdr:rowOff>
    </xdr:from>
    <xdr:ext cx="2308225" cy="236220"/>
    <xdr:sp>
      <xdr:nvSpPr>
        <xdr:cNvPr id="13" name="Text Box 12"/>
        <xdr:cNvSpPr txBox="1"/>
      </xdr:nvSpPr>
      <xdr:spPr>
        <a:xfrm>
          <a:off x="3002280" y="7620"/>
          <a:ext cx="2308225" cy="23622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100" b="1"/>
            <a:t>SALES PERFORMANCE DASHBOARD</a:t>
          </a:r>
          <a:endParaRPr lang="en-US" sz="1100"/>
        </a:p>
        <a:p>
          <a:pPr algn="l"/>
          <a:endParaRPr lang="en-US" sz="1100"/>
        </a:p>
      </xdr:txBody>
    </xdr:sp>
    <xdr:clientData/>
  </xdr:oneCellAnchor>
  <xdr:oneCellAnchor>
    <xdr:from>
      <xdr:col>11</xdr:col>
      <xdr:colOff>449580</xdr:colOff>
      <xdr:row>5</xdr:row>
      <xdr:rowOff>8890</xdr:rowOff>
    </xdr:from>
    <xdr:ext cx="4804410" cy="5750560"/>
    <xdr:sp>
      <xdr:nvSpPr>
        <xdr:cNvPr id="14" name="Text Box 13"/>
        <xdr:cNvSpPr txBox="1"/>
      </xdr:nvSpPr>
      <xdr:spPr>
        <a:xfrm>
          <a:off x="9509760" y="923290"/>
          <a:ext cx="4804410" cy="575056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r>
            <a:rPr lang="en-US" sz="1100" b="1"/>
            <a:t>                              SALES PERFORMANCE INSIGHTS</a:t>
          </a:r>
          <a:endParaRPr lang="en-US" sz="1100" b="1"/>
        </a:p>
        <a:p>
          <a:pPr algn="l"/>
          <a:endParaRPr lang="en-US" sz="1100" b="1"/>
        </a:p>
        <a:p>
          <a:pPr algn="l"/>
          <a:r>
            <a:rPr lang="en-US" sz="1100" b="1"/>
            <a:t>Product Performance</a:t>
          </a:r>
          <a:endParaRPr lang="en-US" sz="1100" b="1"/>
        </a:p>
        <a:p>
          <a:pPr algn="l"/>
          <a:r>
            <a:rPr lang="en-US" sz="1100"/>
            <a:t>Product D generated the highest revenue</a:t>
          </a:r>
          <a:endParaRPr lang="en-US" sz="1100"/>
        </a:p>
        <a:p>
          <a:pPr algn="l"/>
          <a:r>
            <a:rPr lang="en-US" sz="1100"/>
            <a:t>Product A and C performed moderately.</a:t>
          </a:r>
          <a:endParaRPr lang="en-US" sz="1100"/>
        </a:p>
        <a:p>
          <a:pPr algn="l"/>
          <a:r>
            <a:rPr lang="en-US" sz="1100"/>
            <a:t>Product B is the lowest performer, indicating weak market demand.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/>
            <a:t>Insight: Focus marketing and inventory on Product C.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 b="1"/>
            <a:t>Regional Sales Insights</a:t>
          </a:r>
          <a:endParaRPr lang="en-US" sz="1100" b="1"/>
        </a:p>
        <a:p>
          <a:pPr algn="l"/>
          <a:r>
            <a:rPr lang="en-US" sz="1100"/>
            <a:t>The West region contributed the highest share of total revenue (≈ 27%).</a:t>
          </a:r>
          <a:endParaRPr lang="en-US" sz="1100"/>
        </a:p>
        <a:p>
          <a:pPr algn="l"/>
          <a:r>
            <a:rPr lang="en-US" sz="1100"/>
            <a:t>South also have good performance.</a:t>
          </a:r>
          <a:endParaRPr lang="en-US" sz="1100"/>
        </a:p>
        <a:p>
          <a:pPr algn="l"/>
          <a:r>
            <a:rPr lang="en-US" sz="1100"/>
            <a:t>The </a:t>
          </a:r>
          <a:r>
            <a:rPr lang="en-US">
              <a:sym typeface="+mn-ea"/>
            </a:rPr>
            <a:t>North and East </a:t>
          </a:r>
          <a:r>
            <a:rPr lang="en-US" sz="1100"/>
            <a:t>region shows the lowest revenue.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/>
            <a:t>Insight: </a:t>
          </a:r>
          <a:r>
            <a:rPr lang="en-US">
              <a:sym typeface="+mn-ea"/>
            </a:rPr>
            <a:t>North and East</a:t>
          </a:r>
          <a:r>
            <a:rPr lang="en-US" sz="1100"/>
            <a:t> region may need better distribution or promotions.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 b="1"/>
            <a:t>Salesperson Performance</a:t>
          </a:r>
          <a:endParaRPr lang="en-US" sz="1100" b="1"/>
        </a:p>
        <a:p>
          <a:pPr algn="l"/>
          <a:r>
            <a:rPr lang="en-US" sz="1100"/>
            <a:t>Alice achieved the highest revenue among all salespeople.</a:t>
          </a:r>
          <a:endParaRPr lang="en-US" sz="1100"/>
        </a:p>
        <a:p>
          <a:pPr algn="l"/>
          <a:r>
            <a:rPr lang="en-US" sz="1100"/>
            <a:t>Charlie is the lowest performer.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/>
            <a:t>Insight: Charlie may need sales training or support.</a:t>
          </a:r>
          <a:endParaRPr lang="en-US" sz="1100"/>
        </a:p>
        <a:p>
          <a:pPr algn="l"/>
          <a:endParaRPr lang="en-US" sz="1100"/>
        </a:p>
        <a:p>
          <a:pPr algn="l"/>
          <a:r>
            <a:rPr lang="en-US" sz="1100" b="1"/>
            <a:t>Recommendations</a:t>
          </a:r>
          <a:endParaRPr lang="en-US" sz="1100" b="1"/>
        </a:p>
        <a:p>
          <a:pPr algn="l"/>
          <a:r>
            <a:rPr lang="en-US" sz="1100"/>
            <a:t>Increase stock for Product C — highest demand.</a:t>
          </a:r>
          <a:endParaRPr lang="en-US" sz="1100"/>
        </a:p>
        <a:p>
          <a:pPr algn="l"/>
          <a:r>
            <a:rPr lang="en-US" sz="1100"/>
            <a:t>Launch targeted promotions in the North region.</a:t>
          </a:r>
          <a:endParaRPr lang="en-US" sz="1100"/>
        </a:p>
        <a:p>
          <a:pPr algn="l"/>
          <a:r>
            <a:rPr lang="en-US" sz="1100"/>
            <a:t>Provide advanced training to low-performing salespeople.</a:t>
          </a:r>
          <a:endParaRPr lang="en-US" sz="1100"/>
        </a:p>
        <a:p>
          <a:pPr algn="l"/>
          <a:r>
            <a:rPr lang="en-US" sz="1100"/>
            <a:t>Keep monitoring monthly trends for slow or peak seasons.</a:t>
          </a:r>
          <a:endParaRPr lang="en-US" sz="110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82.6756365741" refreshedBy="saint" recordCount="200">
  <cacheSource type="worksheet">
    <worksheetSource name="#NAME?"/>
  </cacheSource>
  <cacheFields count="7">
    <cacheField name="Date" numFmtId="0">
      <sharedItems containsSemiMixedTypes="0" containsString="0" containsNonDate="0" containsDate="1" minDate="2025-01-01T00:00:00" maxDate="2025-04-10T00:00:00" count="87">
        <d v="2025-02-21T00:00:00"/>
        <d v="2025-04-03T00:00:00"/>
        <d v="2025-01-15T00:00:00"/>
        <d v="2025-03-13T00:00:00"/>
        <d v="2025-03-02T00:00:00"/>
        <d v="2025-01-21T00:00:00"/>
        <d v="2025-03-24T00:00:00"/>
        <d v="2025-03-28T00:00:00"/>
        <d v="2025-03-16T00:00:00"/>
        <d v="2025-03-29T00:00:00"/>
        <d v="2025-04-10T00:00:00"/>
        <d v="2025-01-24T00:00:00"/>
        <d v="2025-01-03T00:00:00"/>
        <d v="2025-01-22T00:00:00"/>
        <d v="2025-02-22T00:00:00"/>
        <d v="2025-01-02T00:00:00"/>
        <d v="2025-01-30T00:00:00"/>
        <d v="2025-02-07T00:00:00"/>
        <d v="2025-03-05T00:00:00"/>
        <d v="2025-03-01T00:00:00"/>
        <d v="2025-02-02T00:00:00"/>
        <d v="2025-03-17T00:00:00"/>
        <d v="2025-02-27T00:00:00"/>
        <d v="2025-03-30T00:00:00"/>
        <d v="2025-02-18T00:00:00"/>
        <d v="2025-04-01T00:00:00"/>
        <d v="2025-02-28T00:00:00"/>
        <d v="2025-02-11T00:00:00"/>
        <d v="2025-04-02T00:00:00"/>
        <d v="2025-03-21T00:00:00"/>
        <d v="2025-03-03T00:00:00"/>
        <d v="2025-02-16T00:00:00"/>
        <d v="2025-02-20T00:00:00"/>
        <d v="2025-02-24T00:00:00"/>
        <d v="2025-01-07T00:00:00"/>
        <d v="2025-03-14T00:00:00"/>
        <d v="2025-02-08T00:00:00"/>
        <d v="2025-01-18T00:00:00"/>
        <d v="2025-01-04T00:00:00"/>
        <d v="2025-01-14T00:00:00"/>
        <d v="2025-01-09T00:00:00"/>
        <d v="2025-03-31T00:00:00"/>
        <d v="2025-03-25T00:00:00"/>
        <d v="2025-03-12T00:00:00"/>
        <d v="2025-02-13T00:00:00"/>
        <d v="2025-01-08T00:00:00"/>
        <d v="2025-02-04T00:00:00"/>
        <d v="2025-03-19T00:00:00"/>
        <d v="2025-03-22T00:00:00"/>
        <d v="2025-02-05T00:00:00"/>
        <d v="2025-02-19T00:00:00"/>
        <d v="2025-01-06T00:00:00"/>
        <d v="2025-02-23T00:00:00"/>
        <d v="2025-03-04T00:00:00"/>
        <d v="2025-02-03T00:00:00"/>
        <d v="2025-03-15T00:00:00"/>
        <d v="2025-04-05T00:00:00"/>
        <d v="2025-02-17T00:00:00"/>
        <d v="2025-02-09T00:00:00"/>
        <d v="2025-03-26T00:00:00"/>
        <d v="2025-03-23T00:00:00"/>
        <d v="2025-01-26T00:00:00"/>
        <d v="2025-02-10T00:00:00"/>
        <d v="2025-01-29T00:00:00"/>
        <d v="2025-02-14T00:00:00"/>
        <d v="2025-03-06T00:00:00"/>
        <d v="2025-01-01T00:00:00"/>
        <d v="2025-01-11T00:00:00"/>
        <d v="2025-01-05T00:00:00"/>
        <d v="2025-01-28T00:00:00"/>
        <d v="2025-01-12T00:00:00"/>
        <d v="2025-01-23T00:00:00"/>
        <d v="2025-02-06T00:00:00"/>
        <d v="2025-04-09T00:00:00"/>
        <d v="2025-03-27T00:00:00"/>
        <d v="2025-01-27T00:00:00"/>
        <d v="2025-03-20T00:00:00"/>
        <d v="2025-03-18T00:00:00"/>
        <d v="2025-04-06T00:00:00"/>
        <d v="2025-04-04T00:00:00"/>
        <d v="2025-02-12T00:00:00"/>
        <d v="2025-01-13T00:00:00"/>
        <d v="2025-02-01T00:00:00"/>
        <d v="2025-03-07T00:00:00"/>
        <d v="2025-02-26T00:00:00"/>
        <d v="2025-04-07T00:00:00"/>
        <d v="2025-03-11T00:00:00"/>
      </sharedItems>
      <fieldGroup base="0">
        <rangePr groupBy="months" startDate="2025-01-01T00:00:00" endDate="2025-04-10T00:00:00" groupInterval="1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0/2025"/>
        </groupItems>
      </fieldGroup>
    </cacheField>
    <cacheField name="Product" numFmtId="0">
      <sharedItems count="4">
        <s v="Product A"/>
        <s v="Product B"/>
        <s v="Product C"/>
        <s v="Product D"/>
      </sharedItems>
    </cacheField>
    <cacheField name="Region" numFmtId="0">
      <sharedItems count="4">
        <s v="South"/>
        <s v="North"/>
        <s v="West"/>
        <s v="East"/>
      </sharedItems>
    </cacheField>
    <cacheField name="Salesperson" numFmtId="0">
      <sharedItems count="4">
        <s v="Diana"/>
        <s v="Charlie"/>
        <s v="Alice"/>
        <s v="Bob"/>
      </sharedItems>
    </cacheField>
    <cacheField name="Units Sold" numFmtId="0">
      <sharedItems containsSemiMixedTypes="0" containsString="0" containsNumber="1" containsInteger="1" minValue="1" maxValue="19" count="19">
        <n v="12"/>
        <n v="9"/>
        <n v="10"/>
        <n v="17"/>
        <n v="6"/>
        <n v="7"/>
        <n v="14"/>
        <n v="13"/>
        <n v="8"/>
        <n v="18"/>
        <n v="2"/>
        <n v="5"/>
        <n v="19"/>
        <n v="16"/>
        <n v="1"/>
        <n v="4"/>
        <n v="3"/>
        <n v="15"/>
        <n v="11"/>
      </sharedItems>
    </cacheField>
    <cacheField name="Unit Price" numFmtId="0">
      <sharedItems containsSemiMixedTypes="0" containsString="0" containsNumber="1" containsInteger="1" minValue="10" maxValue="99" count="82">
        <n v="30"/>
        <n v="14"/>
        <n v="91"/>
        <n v="51"/>
        <n v="70"/>
        <n v="31"/>
        <n v="79"/>
        <n v="10"/>
        <n v="21"/>
        <n v="99"/>
        <n v="55"/>
        <n v="43"/>
        <n v="58"/>
        <n v="87"/>
        <n v="54"/>
        <n v="36"/>
        <n v="82"/>
        <n v="35"/>
        <n v="56"/>
        <n v="95"/>
        <n v="65"/>
        <n v="72"/>
        <n v="57"/>
        <n v="90"/>
        <n v="45"/>
        <n v="17"/>
        <n v="61"/>
        <n v="88"/>
        <n v="23"/>
        <n v="37"/>
        <n v="96"/>
        <n v="97"/>
        <n v="11"/>
        <n v="68"/>
        <n v="16"/>
        <n v="12"/>
        <n v="32"/>
        <n v="27"/>
        <n v="47"/>
        <n v="24"/>
        <n v="73"/>
        <n v="98"/>
        <n v="83"/>
        <n v="48"/>
        <n v="66"/>
        <n v="26"/>
        <n v="53"/>
        <n v="34"/>
        <n v="22"/>
        <n v="93"/>
        <n v="77"/>
        <n v="19"/>
        <n v="76"/>
        <n v="49"/>
        <n v="92"/>
        <n v="50"/>
        <n v="15"/>
        <n v="42"/>
        <n v="62"/>
        <n v="13"/>
        <n v="84"/>
        <n v="71"/>
        <n v="33"/>
        <n v="64"/>
        <n v="18"/>
        <n v="40"/>
        <n v="75"/>
        <n v="60"/>
        <n v="28"/>
        <n v="29"/>
        <n v="46"/>
        <n v="20"/>
        <n v="86"/>
        <n v="59"/>
        <n v="74"/>
        <n v="44"/>
        <n v="78"/>
        <n v="69"/>
        <n v="85"/>
        <n v="81"/>
        <n v="39"/>
        <n v="94"/>
      </sharedItems>
    </cacheField>
    <cacheField name="Revenue" numFmtId="0">
      <sharedItems containsSemiMixedTypes="0" containsString="0" containsNumber="1" containsInteger="1" minValue="10" maxValue="1862" count="166">
        <n v="360"/>
        <n v="126"/>
        <n v="910"/>
        <n v="612"/>
        <n v="1190"/>
        <n v="186"/>
        <n v="210"/>
        <n v="1106"/>
        <n v="130"/>
        <n v="112"/>
        <n v="891"/>
        <n v="990"/>
        <n v="86"/>
        <n v="290"/>
        <n v="435"/>
        <n v="594"/>
        <n v="1026"/>
        <n v="288"/>
        <n v="1312"/>
        <n v="455"/>
        <n v="56"/>
        <n v="1615"/>
        <n v="936"/>
        <n v="228"/>
        <n v="280"/>
        <n v="540"/>
        <n v="665"/>
        <n v="70"/>
        <n v="170"/>
        <n v="1159"/>
        <n v="616"/>
        <n v="168"/>
        <n v="845"/>
        <n v="1235"/>
        <n v="414"/>
        <n v="792"/>
        <n v="333"/>
        <n v="672"/>
        <n v="87"/>
        <n v="291"/>
        <n v="143"/>
        <n v="595"/>
        <n v="23"/>
        <n v="408"/>
        <n v="390"/>
        <n v="192"/>
        <n v="156"/>
        <n v="416"/>
        <n v="405"/>
        <n v="752"/>
        <n v="264"/>
        <n v="365"/>
        <n v="392"/>
        <n v="111"/>
        <n v="1577"/>
        <n v="864"/>
        <n v="234"/>
        <n v="1386"/>
        <n v="795"/>
        <n v="34"/>
        <n v="78"/>
        <n v="352"/>
        <n v="1023"/>
        <n v="770"/>
        <n v="304"/>
        <n v="608"/>
        <n v="162"/>
        <n v="1140"/>
        <n v="344"/>
        <n v="68"/>
        <n v="1656"/>
        <n v="255"/>
        <n v="450"/>
        <n v="60"/>
        <n v="1037"/>
        <n v="315"/>
        <n v="73"/>
        <n v="884"/>
        <n v="1040"/>
        <n v="372"/>
        <n v="558"/>
        <n v="570"/>
        <n v="395"/>
        <n v="1185"/>
        <n v="26"/>
        <n v="840"/>
        <n v="1278"/>
        <n v="923"/>
        <n v="165"/>
        <n v="64"/>
        <n v="18"/>
        <n v="216"/>
        <n v="600"/>
        <n v="833"/>
        <n v="495"/>
        <n v="561"/>
        <n v="195"/>
        <n v="75"/>
        <n v="756"/>
        <n v="39"/>
        <n v="88"/>
        <n v="240"/>
        <n v="1207"/>
        <n v="330"/>
        <n v="375"/>
        <n v="528"/>
        <n v="252"/>
        <n v="85"/>
        <n v="175"/>
        <n v="1007"/>
        <n v="238"/>
        <n v="1078"/>
        <n v="28"/>
        <n v="1767"/>
        <n v="377"/>
        <n v="273"/>
        <n v="224"/>
        <n v="10"/>
        <n v="1683"/>
        <n v="184"/>
        <n v="146"/>
        <n v="376"/>
        <n v="322"/>
        <n v="40"/>
        <n v="258"/>
        <n v="504"/>
        <n v="15"/>
        <n v="708"/>
        <n v="95"/>
        <n v="512"/>
        <n v="285"/>
        <n v="55"/>
        <n v="308"/>
        <n v="98"/>
        <n v="121"/>
        <n v="518"/>
        <n v="432"/>
        <n v="164"/>
        <n v="324"/>
        <n v="893"/>
        <n v="348"/>
        <n v="1065"/>
        <n v="690"/>
        <n v="1121"/>
        <n v="1479"/>
        <n v="420"/>
        <n v="72"/>
        <n v="430"/>
        <n v="1445"/>
        <n v="440"/>
        <n v="245"/>
        <n v="138"/>
        <n v="949"/>
        <n v="220"/>
        <n v="368"/>
        <n v="759"/>
        <n v="741"/>
        <n v="660"/>
        <n v="1504"/>
        <n v="506"/>
        <n v="736"/>
        <n v="284"/>
        <n v="294"/>
        <n v="918"/>
        <n v="1862"/>
        <n v="51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">
  <r>
    <x v="0"/>
    <x v="0"/>
    <x v="0"/>
    <x v="0"/>
    <x v="0"/>
    <x v="0"/>
    <x v="0"/>
  </r>
  <r>
    <x v="1"/>
    <x v="1"/>
    <x v="1"/>
    <x v="1"/>
    <x v="1"/>
    <x v="1"/>
    <x v="1"/>
  </r>
  <r>
    <x v="2"/>
    <x v="0"/>
    <x v="0"/>
    <x v="2"/>
    <x v="2"/>
    <x v="2"/>
    <x v="2"/>
  </r>
  <r>
    <x v="3"/>
    <x v="0"/>
    <x v="1"/>
    <x v="3"/>
    <x v="0"/>
    <x v="3"/>
    <x v="3"/>
  </r>
  <r>
    <x v="4"/>
    <x v="2"/>
    <x v="2"/>
    <x v="2"/>
    <x v="3"/>
    <x v="4"/>
    <x v="4"/>
  </r>
  <r>
    <x v="5"/>
    <x v="1"/>
    <x v="3"/>
    <x v="2"/>
    <x v="4"/>
    <x v="5"/>
    <x v="5"/>
  </r>
  <r>
    <x v="6"/>
    <x v="3"/>
    <x v="2"/>
    <x v="3"/>
    <x v="5"/>
    <x v="0"/>
    <x v="6"/>
  </r>
  <r>
    <x v="7"/>
    <x v="3"/>
    <x v="1"/>
    <x v="0"/>
    <x v="6"/>
    <x v="6"/>
    <x v="7"/>
  </r>
  <r>
    <x v="8"/>
    <x v="2"/>
    <x v="1"/>
    <x v="2"/>
    <x v="7"/>
    <x v="7"/>
    <x v="8"/>
  </r>
  <r>
    <x v="8"/>
    <x v="2"/>
    <x v="2"/>
    <x v="1"/>
    <x v="8"/>
    <x v="1"/>
    <x v="9"/>
  </r>
  <r>
    <x v="9"/>
    <x v="1"/>
    <x v="1"/>
    <x v="2"/>
    <x v="2"/>
    <x v="8"/>
    <x v="6"/>
  </r>
  <r>
    <x v="10"/>
    <x v="3"/>
    <x v="2"/>
    <x v="3"/>
    <x v="1"/>
    <x v="9"/>
    <x v="10"/>
  </r>
  <r>
    <x v="11"/>
    <x v="3"/>
    <x v="3"/>
    <x v="3"/>
    <x v="9"/>
    <x v="10"/>
    <x v="11"/>
  </r>
  <r>
    <x v="12"/>
    <x v="3"/>
    <x v="2"/>
    <x v="3"/>
    <x v="10"/>
    <x v="11"/>
    <x v="12"/>
  </r>
  <r>
    <x v="13"/>
    <x v="0"/>
    <x v="3"/>
    <x v="0"/>
    <x v="11"/>
    <x v="12"/>
    <x v="13"/>
  </r>
  <r>
    <x v="14"/>
    <x v="3"/>
    <x v="2"/>
    <x v="2"/>
    <x v="11"/>
    <x v="13"/>
    <x v="14"/>
  </r>
  <r>
    <x v="15"/>
    <x v="0"/>
    <x v="1"/>
    <x v="0"/>
    <x v="4"/>
    <x v="9"/>
    <x v="15"/>
  </r>
  <r>
    <x v="9"/>
    <x v="1"/>
    <x v="2"/>
    <x v="0"/>
    <x v="12"/>
    <x v="14"/>
    <x v="16"/>
  </r>
  <r>
    <x v="16"/>
    <x v="0"/>
    <x v="1"/>
    <x v="3"/>
    <x v="8"/>
    <x v="15"/>
    <x v="17"/>
  </r>
  <r>
    <x v="17"/>
    <x v="1"/>
    <x v="2"/>
    <x v="3"/>
    <x v="13"/>
    <x v="16"/>
    <x v="18"/>
  </r>
  <r>
    <x v="15"/>
    <x v="3"/>
    <x v="2"/>
    <x v="0"/>
    <x v="7"/>
    <x v="17"/>
    <x v="19"/>
  </r>
  <r>
    <x v="18"/>
    <x v="3"/>
    <x v="0"/>
    <x v="2"/>
    <x v="14"/>
    <x v="18"/>
    <x v="20"/>
  </r>
  <r>
    <x v="19"/>
    <x v="1"/>
    <x v="1"/>
    <x v="1"/>
    <x v="3"/>
    <x v="19"/>
    <x v="21"/>
  </r>
  <r>
    <x v="5"/>
    <x v="2"/>
    <x v="0"/>
    <x v="0"/>
    <x v="5"/>
    <x v="20"/>
    <x v="19"/>
  </r>
  <r>
    <x v="20"/>
    <x v="1"/>
    <x v="1"/>
    <x v="2"/>
    <x v="7"/>
    <x v="21"/>
    <x v="22"/>
  </r>
  <r>
    <x v="21"/>
    <x v="2"/>
    <x v="0"/>
    <x v="3"/>
    <x v="15"/>
    <x v="22"/>
    <x v="23"/>
  </r>
  <r>
    <x v="22"/>
    <x v="0"/>
    <x v="3"/>
    <x v="3"/>
    <x v="15"/>
    <x v="4"/>
    <x v="24"/>
  </r>
  <r>
    <x v="13"/>
    <x v="0"/>
    <x v="2"/>
    <x v="2"/>
    <x v="4"/>
    <x v="23"/>
    <x v="25"/>
  </r>
  <r>
    <x v="23"/>
    <x v="0"/>
    <x v="1"/>
    <x v="1"/>
    <x v="12"/>
    <x v="17"/>
    <x v="26"/>
  </r>
  <r>
    <x v="24"/>
    <x v="3"/>
    <x v="1"/>
    <x v="3"/>
    <x v="0"/>
    <x v="24"/>
    <x v="25"/>
  </r>
  <r>
    <x v="25"/>
    <x v="0"/>
    <x v="2"/>
    <x v="3"/>
    <x v="5"/>
    <x v="7"/>
    <x v="27"/>
  </r>
  <r>
    <x v="26"/>
    <x v="2"/>
    <x v="1"/>
    <x v="3"/>
    <x v="2"/>
    <x v="25"/>
    <x v="28"/>
  </r>
  <r>
    <x v="27"/>
    <x v="0"/>
    <x v="1"/>
    <x v="2"/>
    <x v="12"/>
    <x v="26"/>
    <x v="29"/>
  </r>
  <r>
    <x v="28"/>
    <x v="1"/>
    <x v="0"/>
    <x v="0"/>
    <x v="5"/>
    <x v="27"/>
    <x v="30"/>
  </r>
  <r>
    <x v="19"/>
    <x v="1"/>
    <x v="1"/>
    <x v="3"/>
    <x v="16"/>
    <x v="18"/>
    <x v="31"/>
  </r>
  <r>
    <x v="29"/>
    <x v="3"/>
    <x v="3"/>
    <x v="0"/>
    <x v="7"/>
    <x v="20"/>
    <x v="32"/>
  </r>
  <r>
    <x v="2"/>
    <x v="1"/>
    <x v="3"/>
    <x v="1"/>
    <x v="7"/>
    <x v="19"/>
    <x v="33"/>
  </r>
  <r>
    <x v="30"/>
    <x v="2"/>
    <x v="2"/>
    <x v="3"/>
    <x v="9"/>
    <x v="28"/>
    <x v="34"/>
  </r>
  <r>
    <x v="30"/>
    <x v="0"/>
    <x v="1"/>
    <x v="3"/>
    <x v="8"/>
    <x v="9"/>
    <x v="35"/>
  </r>
  <r>
    <x v="31"/>
    <x v="3"/>
    <x v="2"/>
    <x v="1"/>
    <x v="1"/>
    <x v="29"/>
    <x v="36"/>
  </r>
  <r>
    <x v="30"/>
    <x v="0"/>
    <x v="3"/>
    <x v="3"/>
    <x v="5"/>
    <x v="30"/>
    <x v="37"/>
  </r>
  <r>
    <x v="32"/>
    <x v="0"/>
    <x v="1"/>
    <x v="0"/>
    <x v="14"/>
    <x v="13"/>
    <x v="38"/>
  </r>
  <r>
    <x v="33"/>
    <x v="2"/>
    <x v="1"/>
    <x v="2"/>
    <x v="16"/>
    <x v="31"/>
    <x v="39"/>
  </r>
  <r>
    <x v="18"/>
    <x v="1"/>
    <x v="2"/>
    <x v="0"/>
    <x v="7"/>
    <x v="32"/>
    <x v="40"/>
  </r>
  <r>
    <x v="12"/>
    <x v="1"/>
    <x v="3"/>
    <x v="2"/>
    <x v="3"/>
    <x v="17"/>
    <x v="41"/>
  </r>
  <r>
    <x v="32"/>
    <x v="0"/>
    <x v="1"/>
    <x v="2"/>
    <x v="14"/>
    <x v="28"/>
    <x v="42"/>
  </r>
  <r>
    <x v="34"/>
    <x v="3"/>
    <x v="2"/>
    <x v="0"/>
    <x v="4"/>
    <x v="33"/>
    <x v="43"/>
  </r>
  <r>
    <x v="5"/>
    <x v="1"/>
    <x v="3"/>
    <x v="0"/>
    <x v="4"/>
    <x v="20"/>
    <x v="44"/>
  </r>
  <r>
    <x v="35"/>
    <x v="3"/>
    <x v="2"/>
    <x v="0"/>
    <x v="0"/>
    <x v="34"/>
    <x v="45"/>
  </r>
  <r>
    <x v="36"/>
    <x v="1"/>
    <x v="0"/>
    <x v="0"/>
    <x v="7"/>
    <x v="35"/>
    <x v="46"/>
  </r>
  <r>
    <x v="37"/>
    <x v="3"/>
    <x v="1"/>
    <x v="1"/>
    <x v="7"/>
    <x v="36"/>
    <x v="47"/>
  </r>
  <r>
    <x v="38"/>
    <x v="2"/>
    <x v="0"/>
    <x v="3"/>
    <x v="17"/>
    <x v="37"/>
    <x v="48"/>
  </r>
  <r>
    <x v="23"/>
    <x v="3"/>
    <x v="3"/>
    <x v="2"/>
    <x v="13"/>
    <x v="38"/>
    <x v="49"/>
  </r>
  <r>
    <x v="19"/>
    <x v="2"/>
    <x v="0"/>
    <x v="0"/>
    <x v="18"/>
    <x v="39"/>
    <x v="50"/>
  </r>
  <r>
    <x v="39"/>
    <x v="2"/>
    <x v="0"/>
    <x v="0"/>
    <x v="11"/>
    <x v="40"/>
    <x v="51"/>
  </r>
  <r>
    <x v="40"/>
    <x v="3"/>
    <x v="3"/>
    <x v="0"/>
    <x v="15"/>
    <x v="41"/>
    <x v="52"/>
  </r>
  <r>
    <x v="41"/>
    <x v="2"/>
    <x v="2"/>
    <x v="1"/>
    <x v="16"/>
    <x v="29"/>
    <x v="53"/>
  </r>
  <r>
    <x v="14"/>
    <x v="0"/>
    <x v="0"/>
    <x v="0"/>
    <x v="12"/>
    <x v="42"/>
    <x v="54"/>
  </r>
  <r>
    <x v="15"/>
    <x v="2"/>
    <x v="2"/>
    <x v="0"/>
    <x v="9"/>
    <x v="43"/>
    <x v="55"/>
  </r>
  <r>
    <x v="42"/>
    <x v="1"/>
    <x v="0"/>
    <x v="0"/>
    <x v="17"/>
    <x v="44"/>
    <x v="11"/>
  </r>
  <r>
    <x v="28"/>
    <x v="3"/>
    <x v="2"/>
    <x v="3"/>
    <x v="1"/>
    <x v="45"/>
    <x v="56"/>
  </r>
  <r>
    <x v="19"/>
    <x v="0"/>
    <x v="3"/>
    <x v="1"/>
    <x v="3"/>
    <x v="19"/>
    <x v="21"/>
  </r>
  <r>
    <x v="43"/>
    <x v="3"/>
    <x v="0"/>
    <x v="0"/>
    <x v="6"/>
    <x v="9"/>
    <x v="57"/>
  </r>
  <r>
    <x v="44"/>
    <x v="1"/>
    <x v="3"/>
    <x v="2"/>
    <x v="17"/>
    <x v="46"/>
    <x v="58"/>
  </r>
  <r>
    <x v="45"/>
    <x v="1"/>
    <x v="0"/>
    <x v="2"/>
    <x v="14"/>
    <x v="47"/>
    <x v="59"/>
  </r>
  <r>
    <x v="31"/>
    <x v="1"/>
    <x v="3"/>
    <x v="2"/>
    <x v="16"/>
    <x v="45"/>
    <x v="60"/>
  </r>
  <r>
    <x v="46"/>
    <x v="2"/>
    <x v="3"/>
    <x v="1"/>
    <x v="13"/>
    <x v="48"/>
    <x v="61"/>
  </r>
  <r>
    <x v="47"/>
    <x v="2"/>
    <x v="0"/>
    <x v="1"/>
    <x v="18"/>
    <x v="49"/>
    <x v="62"/>
  </r>
  <r>
    <x v="48"/>
    <x v="3"/>
    <x v="0"/>
    <x v="2"/>
    <x v="0"/>
    <x v="47"/>
    <x v="43"/>
  </r>
  <r>
    <x v="49"/>
    <x v="3"/>
    <x v="0"/>
    <x v="0"/>
    <x v="2"/>
    <x v="50"/>
    <x v="63"/>
  </r>
  <r>
    <x v="50"/>
    <x v="0"/>
    <x v="1"/>
    <x v="1"/>
    <x v="13"/>
    <x v="51"/>
    <x v="64"/>
  </r>
  <r>
    <x v="38"/>
    <x v="0"/>
    <x v="2"/>
    <x v="2"/>
    <x v="8"/>
    <x v="52"/>
    <x v="65"/>
  </r>
  <r>
    <x v="15"/>
    <x v="3"/>
    <x v="1"/>
    <x v="2"/>
    <x v="4"/>
    <x v="37"/>
    <x v="66"/>
  </r>
  <r>
    <x v="51"/>
    <x v="2"/>
    <x v="1"/>
    <x v="0"/>
    <x v="0"/>
    <x v="19"/>
    <x v="67"/>
  </r>
  <r>
    <x v="52"/>
    <x v="1"/>
    <x v="3"/>
    <x v="3"/>
    <x v="8"/>
    <x v="11"/>
    <x v="68"/>
  </r>
  <r>
    <x v="38"/>
    <x v="3"/>
    <x v="0"/>
    <x v="1"/>
    <x v="15"/>
    <x v="25"/>
    <x v="69"/>
  </r>
  <r>
    <x v="52"/>
    <x v="0"/>
    <x v="2"/>
    <x v="0"/>
    <x v="8"/>
    <x v="53"/>
    <x v="52"/>
  </r>
  <r>
    <x v="1"/>
    <x v="2"/>
    <x v="3"/>
    <x v="2"/>
    <x v="9"/>
    <x v="54"/>
    <x v="70"/>
  </r>
  <r>
    <x v="53"/>
    <x v="3"/>
    <x v="1"/>
    <x v="2"/>
    <x v="11"/>
    <x v="3"/>
    <x v="71"/>
  </r>
  <r>
    <x v="37"/>
    <x v="3"/>
    <x v="0"/>
    <x v="0"/>
    <x v="1"/>
    <x v="55"/>
    <x v="72"/>
  </r>
  <r>
    <x v="41"/>
    <x v="2"/>
    <x v="3"/>
    <x v="1"/>
    <x v="15"/>
    <x v="56"/>
    <x v="73"/>
  </r>
  <r>
    <x v="44"/>
    <x v="3"/>
    <x v="0"/>
    <x v="3"/>
    <x v="3"/>
    <x v="26"/>
    <x v="74"/>
  </r>
  <r>
    <x v="54"/>
    <x v="2"/>
    <x v="3"/>
    <x v="3"/>
    <x v="1"/>
    <x v="17"/>
    <x v="75"/>
  </r>
  <r>
    <x v="55"/>
    <x v="1"/>
    <x v="0"/>
    <x v="2"/>
    <x v="14"/>
    <x v="40"/>
    <x v="76"/>
  </r>
  <r>
    <x v="30"/>
    <x v="2"/>
    <x v="1"/>
    <x v="1"/>
    <x v="7"/>
    <x v="33"/>
    <x v="77"/>
  </r>
  <r>
    <x v="10"/>
    <x v="2"/>
    <x v="2"/>
    <x v="3"/>
    <x v="13"/>
    <x v="20"/>
    <x v="78"/>
  </r>
  <r>
    <x v="39"/>
    <x v="2"/>
    <x v="1"/>
    <x v="1"/>
    <x v="7"/>
    <x v="33"/>
    <x v="77"/>
  </r>
  <r>
    <x v="56"/>
    <x v="3"/>
    <x v="2"/>
    <x v="1"/>
    <x v="6"/>
    <x v="6"/>
    <x v="7"/>
  </r>
  <r>
    <x v="57"/>
    <x v="3"/>
    <x v="0"/>
    <x v="2"/>
    <x v="16"/>
    <x v="57"/>
    <x v="1"/>
  </r>
  <r>
    <x v="2"/>
    <x v="2"/>
    <x v="3"/>
    <x v="3"/>
    <x v="4"/>
    <x v="58"/>
    <x v="79"/>
  </r>
  <r>
    <x v="3"/>
    <x v="3"/>
    <x v="1"/>
    <x v="0"/>
    <x v="9"/>
    <x v="5"/>
    <x v="80"/>
  </r>
  <r>
    <x v="47"/>
    <x v="0"/>
    <x v="2"/>
    <x v="2"/>
    <x v="12"/>
    <x v="0"/>
    <x v="81"/>
  </r>
  <r>
    <x v="7"/>
    <x v="0"/>
    <x v="1"/>
    <x v="3"/>
    <x v="11"/>
    <x v="6"/>
    <x v="82"/>
  </r>
  <r>
    <x v="30"/>
    <x v="3"/>
    <x v="2"/>
    <x v="3"/>
    <x v="17"/>
    <x v="6"/>
    <x v="83"/>
  </r>
  <r>
    <x v="58"/>
    <x v="3"/>
    <x v="1"/>
    <x v="3"/>
    <x v="10"/>
    <x v="59"/>
    <x v="84"/>
  </r>
  <r>
    <x v="59"/>
    <x v="2"/>
    <x v="2"/>
    <x v="3"/>
    <x v="2"/>
    <x v="60"/>
    <x v="85"/>
  </r>
  <r>
    <x v="29"/>
    <x v="1"/>
    <x v="2"/>
    <x v="3"/>
    <x v="9"/>
    <x v="61"/>
    <x v="86"/>
  </r>
  <r>
    <x v="60"/>
    <x v="3"/>
    <x v="0"/>
    <x v="1"/>
    <x v="7"/>
    <x v="61"/>
    <x v="87"/>
  </r>
  <r>
    <x v="14"/>
    <x v="0"/>
    <x v="2"/>
    <x v="2"/>
    <x v="11"/>
    <x v="62"/>
    <x v="88"/>
  </r>
  <r>
    <x v="11"/>
    <x v="2"/>
    <x v="0"/>
    <x v="1"/>
    <x v="14"/>
    <x v="63"/>
    <x v="89"/>
  </r>
  <r>
    <x v="61"/>
    <x v="3"/>
    <x v="2"/>
    <x v="0"/>
    <x v="14"/>
    <x v="64"/>
    <x v="90"/>
  </r>
  <r>
    <x v="23"/>
    <x v="0"/>
    <x v="3"/>
    <x v="3"/>
    <x v="9"/>
    <x v="35"/>
    <x v="91"/>
  </r>
  <r>
    <x v="19"/>
    <x v="0"/>
    <x v="3"/>
    <x v="2"/>
    <x v="17"/>
    <x v="65"/>
    <x v="92"/>
  </r>
  <r>
    <x v="62"/>
    <x v="1"/>
    <x v="3"/>
    <x v="3"/>
    <x v="3"/>
    <x v="53"/>
    <x v="93"/>
  </r>
  <r>
    <x v="63"/>
    <x v="2"/>
    <x v="2"/>
    <x v="2"/>
    <x v="18"/>
    <x v="24"/>
    <x v="94"/>
  </r>
  <r>
    <x v="2"/>
    <x v="2"/>
    <x v="0"/>
    <x v="1"/>
    <x v="3"/>
    <x v="62"/>
    <x v="95"/>
  </r>
  <r>
    <x v="64"/>
    <x v="1"/>
    <x v="0"/>
    <x v="2"/>
    <x v="7"/>
    <x v="56"/>
    <x v="96"/>
  </r>
  <r>
    <x v="65"/>
    <x v="1"/>
    <x v="2"/>
    <x v="0"/>
    <x v="14"/>
    <x v="66"/>
    <x v="97"/>
  </r>
  <r>
    <x v="23"/>
    <x v="2"/>
    <x v="3"/>
    <x v="0"/>
    <x v="10"/>
    <x v="49"/>
    <x v="5"/>
  </r>
  <r>
    <x v="43"/>
    <x v="2"/>
    <x v="3"/>
    <x v="2"/>
    <x v="1"/>
    <x v="60"/>
    <x v="98"/>
  </r>
  <r>
    <x v="40"/>
    <x v="3"/>
    <x v="0"/>
    <x v="2"/>
    <x v="16"/>
    <x v="59"/>
    <x v="99"/>
  </r>
  <r>
    <x v="9"/>
    <x v="3"/>
    <x v="3"/>
    <x v="2"/>
    <x v="14"/>
    <x v="27"/>
    <x v="100"/>
  </r>
  <r>
    <x v="66"/>
    <x v="1"/>
    <x v="1"/>
    <x v="2"/>
    <x v="13"/>
    <x v="56"/>
    <x v="101"/>
  </r>
  <r>
    <x v="45"/>
    <x v="3"/>
    <x v="0"/>
    <x v="0"/>
    <x v="4"/>
    <x v="67"/>
    <x v="0"/>
  </r>
  <r>
    <x v="9"/>
    <x v="0"/>
    <x v="3"/>
    <x v="3"/>
    <x v="3"/>
    <x v="61"/>
    <x v="102"/>
  </r>
  <r>
    <x v="53"/>
    <x v="3"/>
    <x v="0"/>
    <x v="2"/>
    <x v="11"/>
    <x v="44"/>
    <x v="103"/>
  </r>
  <r>
    <x v="67"/>
    <x v="3"/>
    <x v="1"/>
    <x v="2"/>
    <x v="11"/>
    <x v="66"/>
    <x v="104"/>
  </r>
  <r>
    <x v="48"/>
    <x v="0"/>
    <x v="0"/>
    <x v="0"/>
    <x v="4"/>
    <x v="27"/>
    <x v="105"/>
  </r>
  <r>
    <x v="45"/>
    <x v="1"/>
    <x v="0"/>
    <x v="0"/>
    <x v="16"/>
    <x v="60"/>
    <x v="106"/>
  </r>
  <r>
    <x v="46"/>
    <x v="0"/>
    <x v="0"/>
    <x v="1"/>
    <x v="11"/>
    <x v="25"/>
    <x v="107"/>
  </r>
  <r>
    <x v="46"/>
    <x v="3"/>
    <x v="0"/>
    <x v="2"/>
    <x v="11"/>
    <x v="17"/>
    <x v="108"/>
  </r>
  <r>
    <x v="20"/>
    <x v="1"/>
    <x v="1"/>
    <x v="1"/>
    <x v="2"/>
    <x v="67"/>
    <x v="92"/>
  </r>
  <r>
    <x v="68"/>
    <x v="3"/>
    <x v="2"/>
    <x v="0"/>
    <x v="2"/>
    <x v="14"/>
    <x v="25"/>
  </r>
  <r>
    <x v="62"/>
    <x v="0"/>
    <x v="0"/>
    <x v="0"/>
    <x v="12"/>
    <x v="46"/>
    <x v="109"/>
  </r>
  <r>
    <x v="69"/>
    <x v="0"/>
    <x v="0"/>
    <x v="3"/>
    <x v="3"/>
    <x v="1"/>
    <x v="110"/>
  </r>
  <r>
    <x v="34"/>
    <x v="3"/>
    <x v="3"/>
    <x v="2"/>
    <x v="6"/>
    <x v="6"/>
    <x v="7"/>
  </r>
  <r>
    <x v="35"/>
    <x v="2"/>
    <x v="0"/>
    <x v="1"/>
    <x v="1"/>
    <x v="17"/>
    <x v="75"/>
  </r>
  <r>
    <x v="3"/>
    <x v="2"/>
    <x v="3"/>
    <x v="0"/>
    <x v="6"/>
    <x v="50"/>
    <x v="111"/>
  </r>
  <r>
    <x v="70"/>
    <x v="0"/>
    <x v="2"/>
    <x v="0"/>
    <x v="14"/>
    <x v="68"/>
    <x v="112"/>
  </r>
  <r>
    <x v="54"/>
    <x v="0"/>
    <x v="1"/>
    <x v="1"/>
    <x v="12"/>
    <x v="49"/>
    <x v="113"/>
  </r>
  <r>
    <x v="20"/>
    <x v="2"/>
    <x v="1"/>
    <x v="3"/>
    <x v="7"/>
    <x v="69"/>
    <x v="114"/>
  </r>
  <r>
    <x v="57"/>
    <x v="2"/>
    <x v="2"/>
    <x v="0"/>
    <x v="7"/>
    <x v="8"/>
    <x v="115"/>
  </r>
  <r>
    <x v="71"/>
    <x v="3"/>
    <x v="1"/>
    <x v="2"/>
    <x v="15"/>
    <x v="18"/>
    <x v="116"/>
  </r>
  <r>
    <x v="30"/>
    <x v="3"/>
    <x v="2"/>
    <x v="0"/>
    <x v="14"/>
    <x v="7"/>
    <x v="117"/>
  </r>
  <r>
    <x v="9"/>
    <x v="2"/>
    <x v="2"/>
    <x v="2"/>
    <x v="3"/>
    <x v="9"/>
    <x v="118"/>
  </r>
  <r>
    <x v="72"/>
    <x v="3"/>
    <x v="2"/>
    <x v="1"/>
    <x v="8"/>
    <x v="28"/>
    <x v="119"/>
  </r>
  <r>
    <x v="73"/>
    <x v="3"/>
    <x v="1"/>
    <x v="2"/>
    <x v="10"/>
    <x v="40"/>
    <x v="120"/>
  </r>
  <r>
    <x v="44"/>
    <x v="1"/>
    <x v="3"/>
    <x v="1"/>
    <x v="8"/>
    <x v="38"/>
    <x v="121"/>
  </r>
  <r>
    <x v="74"/>
    <x v="3"/>
    <x v="2"/>
    <x v="2"/>
    <x v="5"/>
    <x v="70"/>
    <x v="122"/>
  </r>
  <r>
    <x v="25"/>
    <x v="0"/>
    <x v="0"/>
    <x v="1"/>
    <x v="10"/>
    <x v="71"/>
    <x v="123"/>
  </r>
  <r>
    <x v="46"/>
    <x v="3"/>
    <x v="1"/>
    <x v="2"/>
    <x v="16"/>
    <x v="72"/>
    <x v="124"/>
  </r>
  <r>
    <x v="65"/>
    <x v="3"/>
    <x v="2"/>
    <x v="3"/>
    <x v="9"/>
    <x v="35"/>
    <x v="91"/>
  </r>
  <r>
    <x v="73"/>
    <x v="2"/>
    <x v="2"/>
    <x v="2"/>
    <x v="0"/>
    <x v="57"/>
    <x v="125"/>
  </r>
  <r>
    <x v="31"/>
    <x v="0"/>
    <x v="0"/>
    <x v="2"/>
    <x v="14"/>
    <x v="56"/>
    <x v="126"/>
  </r>
  <r>
    <x v="47"/>
    <x v="3"/>
    <x v="3"/>
    <x v="3"/>
    <x v="0"/>
    <x v="73"/>
    <x v="127"/>
  </r>
  <r>
    <x v="12"/>
    <x v="3"/>
    <x v="3"/>
    <x v="0"/>
    <x v="11"/>
    <x v="51"/>
    <x v="128"/>
  </r>
  <r>
    <x v="66"/>
    <x v="1"/>
    <x v="3"/>
    <x v="0"/>
    <x v="3"/>
    <x v="1"/>
    <x v="110"/>
  </r>
  <r>
    <x v="68"/>
    <x v="3"/>
    <x v="2"/>
    <x v="2"/>
    <x v="13"/>
    <x v="36"/>
    <x v="129"/>
  </r>
  <r>
    <x v="41"/>
    <x v="3"/>
    <x v="2"/>
    <x v="3"/>
    <x v="17"/>
    <x v="51"/>
    <x v="130"/>
  </r>
  <r>
    <x v="39"/>
    <x v="1"/>
    <x v="2"/>
    <x v="2"/>
    <x v="17"/>
    <x v="46"/>
    <x v="58"/>
  </r>
  <r>
    <x v="75"/>
    <x v="2"/>
    <x v="1"/>
    <x v="1"/>
    <x v="11"/>
    <x v="32"/>
    <x v="131"/>
  </r>
  <r>
    <x v="40"/>
    <x v="3"/>
    <x v="0"/>
    <x v="1"/>
    <x v="6"/>
    <x v="48"/>
    <x v="132"/>
  </r>
  <r>
    <x v="76"/>
    <x v="1"/>
    <x v="2"/>
    <x v="2"/>
    <x v="10"/>
    <x v="53"/>
    <x v="133"/>
  </r>
  <r>
    <x v="2"/>
    <x v="0"/>
    <x v="0"/>
    <x v="0"/>
    <x v="18"/>
    <x v="32"/>
    <x v="134"/>
  </r>
  <r>
    <x v="41"/>
    <x v="2"/>
    <x v="0"/>
    <x v="0"/>
    <x v="12"/>
    <x v="49"/>
    <x v="113"/>
  </r>
  <r>
    <x v="27"/>
    <x v="0"/>
    <x v="3"/>
    <x v="2"/>
    <x v="5"/>
    <x v="74"/>
    <x v="135"/>
  </r>
  <r>
    <x v="77"/>
    <x v="0"/>
    <x v="1"/>
    <x v="2"/>
    <x v="4"/>
    <x v="21"/>
    <x v="136"/>
  </r>
  <r>
    <x v="32"/>
    <x v="1"/>
    <x v="2"/>
    <x v="1"/>
    <x v="10"/>
    <x v="16"/>
    <x v="137"/>
  </r>
  <r>
    <x v="53"/>
    <x v="3"/>
    <x v="3"/>
    <x v="0"/>
    <x v="4"/>
    <x v="45"/>
    <x v="46"/>
  </r>
  <r>
    <x v="78"/>
    <x v="1"/>
    <x v="3"/>
    <x v="2"/>
    <x v="9"/>
    <x v="64"/>
    <x v="138"/>
  </r>
  <r>
    <x v="0"/>
    <x v="1"/>
    <x v="2"/>
    <x v="1"/>
    <x v="10"/>
    <x v="60"/>
    <x v="31"/>
  </r>
  <r>
    <x v="78"/>
    <x v="1"/>
    <x v="0"/>
    <x v="0"/>
    <x v="9"/>
    <x v="39"/>
    <x v="136"/>
  </r>
  <r>
    <x v="38"/>
    <x v="1"/>
    <x v="3"/>
    <x v="3"/>
    <x v="17"/>
    <x v="62"/>
    <x v="94"/>
  </r>
  <r>
    <x v="79"/>
    <x v="2"/>
    <x v="0"/>
    <x v="1"/>
    <x v="12"/>
    <x v="38"/>
    <x v="139"/>
  </r>
  <r>
    <x v="71"/>
    <x v="3"/>
    <x v="1"/>
    <x v="0"/>
    <x v="10"/>
    <x v="75"/>
    <x v="100"/>
  </r>
  <r>
    <x v="2"/>
    <x v="0"/>
    <x v="0"/>
    <x v="0"/>
    <x v="4"/>
    <x v="12"/>
    <x v="140"/>
  </r>
  <r>
    <x v="80"/>
    <x v="0"/>
    <x v="1"/>
    <x v="1"/>
    <x v="14"/>
    <x v="76"/>
    <x v="60"/>
  </r>
  <r>
    <x v="63"/>
    <x v="3"/>
    <x v="0"/>
    <x v="3"/>
    <x v="17"/>
    <x v="61"/>
    <x v="141"/>
  </r>
  <r>
    <x v="49"/>
    <x v="0"/>
    <x v="3"/>
    <x v="1"/>
    <x v="2"/>
    <x v="77"/>
    <x v="142"/>
  </r>
  <r>
    <x v="81"/>
    <x v="3"/>
    <x v="3"/>
    <x v="0"/>
    <x v="12"/>
    <x v="73"/>
    <x v="143"/>
  </r>
  <r>
    <x v="82"/>
    <x v="0"/>
    <x v="1"/>
    <x v="2"/>
    <x v="3"/>
    <x v="13"/>
    <x v="144"/>
  </r>
  <r>
    <x v="43"/>
    <x v="1"/>
    <x v="2"/>
    <x v="2"/>
    <x v="11"/>
    <x v="60"/>
    <x v="145"/>
  </r>
  <r>
    <x v="26"/>
    <x v="0"/>
    <x v="1"/>
    <x v="1"/>
    <x v="15"/>
    <x v="64"/>
    <x v="146"/>
  </r>
  <r>
    <x v="74"/>
    <x v="3"/>
    <x v="1"/>
    <x v="0"/>
    <x v="2"/>
    <x v="11"/>
    <x v="147"/>
  </r>
  <r>
    <x v="69"/>
    <x v="3"/>
    <x v="0"/>
    <x v="2"/>
    <x v="3"/>
    <x v="78"/>
    <x v="148"/>
  </r>
  <r>
    <x v="83"/>
    <x v="3"/>
    <x v="0"/>
    <x v="0"/>
    <x v="2"/>
    <x v="75"/>
    <x v="149"/>
  </r>
  <r>
    <x v="27"/>
    <x v="3"/>
    <x v="1"/>
    <x v="1"/>
    <x v="3"/>
    <x v="7"/>
    <x v="28"/>
  </r>
  <r>
    <x v="64"/>
    <x v="3"/>
    <x v="3"/>
    <x v="2"/>
    <x v="11"/>
    <x v="53"/>
    <x v="150"/>
  </r>
  <r>
    <x v="30"/>
    <x v="2"/>
    <x v="0"/>
    <x v="0"/>
    <x v="10"/>
    <x v="40"/>
    <x v="120"/>
  </r>
  <r>
    <x v="84"/>
    <x v="2"/>
    <x v="2"/>
    <x v="2"/>
    <x v="4"/>
    <x v="5"/>
    <x v="5"/>
  </r>
  <r>
    <x v="51"/>
    <x v="0"/>
    <x v="0"/>
    <x v="1"/>
    <x v="10"/>
    <x v="77"/>
    <x v="151"/>
  </r>
  <r>
    <x v="69"/>
    <x v="3"/>
    <x v="0"/>
    <x v="0"/>
    <x v="7"/>
    <x v="40"/>
    <x v="152"/>
  </r>
  <r>
    <x v="69"/>
    <x v="0"/>
    <x v="2"/>
    <x v="2"/>
    <x v="18"/>
    <x v="79"/>
    <x v="10"/>
  </r>
  <r>
    <x v="44"/>
    <x v="3"/>
    <x v="1"/>
    <x v="1"/>
    <x v="18"/>
    <x v="71"/>
    <x v="153"/>
  </r>
  <r>
    <x v="42"/>
    <x v="3"/>
    <x v="2"/>
    <x v="2"/>
    <x v="13"/>
    <x v="28"/>
    <x v="154"/>
  </r>
  <r>
    <x v="16"/>
    <x v="2"/>
    <x v="1"/>
    <x v="2"/>
    <x v="18"/>
    <x v="77"/>
    <x v="155"/>
  </r>
  <r>
    <x v="30"/>
    <x v="2"/>
    <x v="1"/>
    <x v="3"/>
    <x v="12"/>
    <x v="80"/>
    <x v="156"/>
  </r>
  <r>
    <x v="8"/>
    <x v="1"/>
    <x v="1"/>
    <x v="3"/>
    <x v="17"/>
    <x v="75"/>
    <x v="157"/>
  </r>
  <r>
    <x v="28"/>
    <x v="2"/>
    <x v="2"/>
    <x v="1"/>
    <x v="13"/>
    <x v="81"/>
    <x v="158"/>
  </r>
  <r>
    <x v="23"/>
    <x v="1"/>
    <x v="1"/>
    <x v="3"/>
    <x v="18"/>
    <x v="70"/>
    <x v="159"/>
  </r>
  <r>
    <x v="30"/>
    <x v="1"/>
    <x v="3"/>
    <x v="1"/>
    <x v="13"/>
    <x v="1"/>
    <x v="116"/>
  </r>
  <r>
    <x v="85"/>
    <x v="1"/>
    <x v="2"/>
    <x v="3"/>
    <x v="8"/>
    <x v="54"/>
    <x v="160"/>
  </r>
  <r>
    <x v="66"/>
    <x v="1"/>
    <x v="3"/>
    <x v="2"/>
    <x v="15"/>
    <x v="13"/>
    <x v="140"/>
  </r>
  <r>
    <x v="75"/>
    <x v="1"/>
    <x v="1"/>
    <x v="1"/>
    <x v="8"/>
    <x v="17"/>
    <x v="24"/>
  </r>
  <r>
    <x v="30"/>
    <x v="0"/>
    <x v="0"/>
    <x v="1"/>
    <x v="15"/>
    <x v="61"/>
    <x v="161"/>
  </r>
  <r>
    <x v="77"/>
    <x v="2"/>
    <x v="1"/>
    <x v="2"/>
    <x v="16"/>
    <x v="59"/>
    <x v="99"/>
  </r>
  <r>
    <x v="12"/>
    <x v="1"/>
    <x v="3"/>
    <x v="1"/>
    <x v="16"/>
    <x v="41"/>
    <x v="162"/>
  </r>
  <r>
    <x v="86"/>
    <x v="3"/>
    <x v="3"/>
    <x v="1"/>
    <x v="9"/>
    <x v="3"/>
    <x v="163"/>
  </r>
  <r>
    <x v="3"/>
    <x v="2"/>
    <x v="2"/>
    <x v="3"/>
    <x v="12"/>
    <x v="41"/>
    <x v="164"/>
  </r>
  <r>
    <x v="75"/>
    <x v="2"/>
    <x v="0"/>
    <x v="1"/>
    <x v="12"/>
    <x v="37"/>
    <x v="1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2:C7" firstHeaderRow="1" firstDataRow="1" firstDataCol="1"/>
  <pivotFields count="7"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compact="0" sortType="ascending" showAll="0">
      <items count="5">
        <item x="0"/>
        <item x="1"/>
        <item x="2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showAll="0">
      <items count="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2:I7" firstHeaderRow="1" firstDataRow="1" firstDataCol="1"/>
  <pivotFields count="7"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axis="axisRow" compact="0" sortType="descending" showAll="0">
      <items count="5">
        <item x="2"/>
        <item x="0"/>
        <item x="1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showAll="0">
      <items count="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B23:C28" firstHeaderRow="1" firstDataRow="1" firstDataCol="1"/>
  <pivotFields count="7">
    <pivotField axis="axisRow" compact="0" multipleItemSelectionAllowed="1" numFmtId="58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5">
        <item h="1" x="0"/>
        <item h="1" x="1"/>
        <item h="1" x="2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showAll="0">
      <items count="167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t="default"/>
      </items>
    </pivotField>
  </pivotFields>
  <rowFields count="1">
    <field x="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10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23:J28" firstHeaderRow="0" firstDataRow="1" firstDataCol="1"/>
  <pivotFields count="7"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axis="axisRow" compact="0" showAll="0">
      <items count="5">
        <item x="2"/>
        <item x="3"/>
        <item x="1"/>
        <item x="0"/>
        <item t="default"/>
      </items>
    </pivotField>
    <pivotField dataField="1"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showAll="0">
      <items count="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6" baseField="0" baseItem="0"/>
    <dataField name="Sum of Units Sold" fld="4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28"/>
  <sheetViews>
    <sheetView showGridLines="0" tabSelected="1" workbookViewId="0">
      <selection activeCell="L10" sqref="L10"/>
    </sheetView>
  </sheetViews>
  <sheetFormatPr defaultColWidth="8.88888888888889" defaultRowHeight="14.4"/>
  <cols>
    <col min="2" max="2" width="11.6666666666667"/>
    <col min="3" max="3" width="16.1111111111111"/>
    <col min="5" max="5" width="14.7777777777778" customWidth="1"/>
    <col min="8" max="8" width="11.6666666666667"/>
    <col min="9" max="9" width="16.1111111111111"/>
    <col min="10" max="10" width="17.3333333333333" customWidth="1"/>
    <col min="12" max="12" width="13.1111111111111" customWidth="1"/>
    <col min="13" max="13" width="11.2222222222222" customWidth="1"/>
    <col min="14" max="14" width="10" customWidth="1"/>
    <col min="15" max="15" width="14.7777777777778" customWidth="1"/>
  </cols>
  <sheetData>
    <row r="1" spans="12:15">
      <c r="L1" s="1" t="s">
        <v>0</v>
      </c>
      <c r="M1" s="1" t="s">
        <v>1</v>
      </c>
      <c r="N1" s="1" t="s">
        <v>2</v>
      </c>
      <c r="O1" s="1" t="s">
        <v>3</v>
      </c>
    </row>
    <row r="2" spans="2:15">
      <c r="B2" t="s">
        <v>4</v>
      </c>
      <c r="C2" t="s">
        <v>5</v>
      </c>
      <c r="H2" t="s">
        <v>6</v>
      </c>
      <c r="I2" t="s">
        <v>5</v>
      </c>
      <c r="L2" s="2" t="e">
        <f>SUM(#REF!)</f>
        <v>#REF!</v>
      </c>
      <c r="M2" s="3">
        <f>MAX(C3:C6)</f>
        <v>30715</v>
      </c>
      <c r="N2" s="4">
        <f>MAX(I3:I6)</f>
        <v>28547</v>
      </c>
      <c r="O2" s="4">
        <f>MAX(H24:J27)</f>
        <v>28753</v>
      </c>
    </row>
    <row r="3" spans="2:12">
      <c r="B3" t="s">
        <v>7</v>
      </c>
      <c r="C3">
        <v>23750</v>
      </c>
      <c r="H3" t="s">
        <v>8</v>
      </c>
      <c r="I3">
        <v>28547</v>
      </c>
      <c r="L3" s="5"/>
    </row>
    <row r="4" spans="2:9">
      <c r="B4" t="s">
        <v>9</v>
      </c>
      <c r="C4">
        <v>21059</v>
      </c>
      <c r="H4" t="s">
        <v>10</v>
      </c>
      <c r="I4">
        <v>25733</v>
      </c>
    </row>
    <row r="5" spans="2:12">
      <c r="B5" t="s">
        <v>11</v>
      </c>
      <c r="C5">
        <v>28322</v>
      </c>
      <c r="H5" t="s">
        <v>12</v>
      </c>
      <c r="I5">
        <v>24532</v>
      </c>
      <c r="L5" s="5"/>
    </row>
    <row r="6" spans="2:9">
      <c r="B6" t="s">
        <v>13</v>
      </c>
      <c r="C6">
        <v>30715</v>
      </c>
      <c r="H6" t="s">
        <v>14</v>
      </c>
      <c r="I6">
        <v>25034</v>
      </c>
    </row>
    <row r="7" spans="2:9">
      <c r="B7" t="s">
        <v>15</v>
      </c>
      <c r="C7">
        <v>103846</v>
      </c>
      <c r="H7" t="s">
        <v>15</v>
      </c>
      <c r="I7">
        <v>103846</v>
      </c>
    </row>
    <row r="23" spans="2:10">
      <c r="B23" t="s">
        <v>16</v>
      </c>
      <c r="C23" t="s">
        <v>5</v>
      </c>
      <c r="H23" t="s">
        <v>17</v>
      </c>
      <c r="I23" t="s">
        <v>5</v>
      </c>
      <c r="J23" t="s">
        <v>18</v>
      </c>
    </row>
    <row r="24" spans="2:10">
      <c r="B24" t="s">
        <v>19</v>
      </c>
      <c r="C24">
        <v>28980</v>
      </c>
      <c r="H24" t="s">
        <v>20</v>
      </c>
      <c r="I24">
        <v>28753</v>
      </c>
      <c r="J24">
        <v>535</v>
      </c>
    </row>
    <row r="25" spans="2:10">
      <c r="B25" t="s">
        <v>21</v>
      </c>
      <c r="C25">
        <v>22498</v>
      </c>
      <c r="H25" t="s">
        <v>22</v>
      </c>
      <c r="I25">
        <v>25339</v>
      </c>
      <c r="J25">
        <v>504</v>
      </c>
    </row>
    <row r="26" spans="2:10">
      <c r="B26" t="s">
        <v>23</v>
      </c>
      <c r="C26">
        <v>42050</v>
      </c>
      <c r="H26" t="s">
        <v>24</v>
      </c>
      <c r="I26">
        <v>22797</v>
      </c>
      <c r="J26">
        <v>462</v>
      </c>
    </row>
    <row r="27" spans="2:10">
      <c r="B27" t="s">
        <v>25</v>
      </c>
      <c r="C27">
        <v>10318</v>
      </c>
      <c r="H27" t="s">
        <v>26</v>
      </c>
      <c r="I27">
        <v>26957</v>
      </c>
      <c r="J27">
        <v>505</v>
      </c>
    </row>
    <row r="28" spans="2:10">
      <c r="B28" t="s">
        <v>15</v>
      </c>
      <c r="C28">
        <v>103846</v>
      </c>
      <c r="H28" t="s">
        <v>15</v>
      </c>
      <c r="I28">
        <v>103846</v>
      </c>
      <c r="J28">
        <v>2006</v>
      </c>
    </row>
  </sheetData>
  <pageMargins left="0.75" right="0.75" top="1" bottom="1" header="0.5" footer="0.5"/>
  <pageSetup paperSize="1" orientation="portrait"/>
  <headerFooter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saint</cp:lastModifiedBy>
  <dcterms:created xsi:type="dcterms:W3CDTF">2025-11-21T13:23:29Z</dcterms:created>
  <dcterms:modified xsi:type="dcterms:W3CDTF">2025-11-22T15:57:20Z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5A135281367E45FF99A5DE02938B1BB3_13</vt:lpwstr>
  </property>
  <property fmtid="{D5CDD505-2E9C-101B-9397-08002B2CF9AE}" pid="3" name="KSOProductBuildVer">
    <vt:lpwstr>1033-12.2.0.23155</vt:lpwstr>
  </property>
</Properties>
</file>